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📊 KPI Dashboard" sheetId="1" state="visible" r:id="rId1"/>
    <sheet xmlns:r="http://schemas.openxmlformats.org/officeDocument/2006/relationships" name="📁 Project Data" sheetId="2" state="visible" r:id="rId2"/>
    <sheet xmlns:r="http://schemas.openxmlformats.org/officeDocument/2006/relationships" name="✅ Milestones &amp; Tasks" sheetId="3" state="visible" r:id="rId3"/>
    <sheet xmlns:r="http://schemas.openxmlformats.org/officeDocument/2006/relationships" name="👥 Team Performance" sheetId="4" state="visible" r:id="rId4"/>
    <sheet xmlns:r="http://schemas.openxmlformats.org/officeDocument/2006/relationships" name="📋 Executive Summary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"/>
    <numFmt numFmtId="165" formatCode="0.0%"/>
    <numFmt numFmtId="166" formatCode="yyyy\-mm\-dd"/>
  </numFmts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7B2FBE"/>
      <sz val="16"/>
    </font>
    <font>
      <name val="Arial"/>
      <charset val="1"/>
      <family val="0"/>
      <color rgb="FF8899AA"/>
      <sz val="9"/>
    </font>
    <font>
      <name val="Arial"/>
      <charset val="1"/>
      <family val="0"/>
      <b val="1"/>
      <color rgb="FF8899AA"/>
      <sz val="9"/>
    </font>
    <font>
      <name val="Arial"/>
      <charset val="1"/>
      <family val="0"/>
      <b val="1"/>
      <color rgb="FFFFFFFF"/>
      <sz val="2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A1A2E"/>
      <sz val="10"/>
    </font>
    <font>
      <name val="Arial"/>
      <charset val="1"/>
      <family val="0"/>
      <color rgb="FF1A1A2E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8899AA"/>
      <sz val="10"/>
    </font>
    <font>
      <name val="Arial"/>
      <charset val="1"/>
      <family val="0"/>
      <b val="1"/>
      <color rgb="FF1A1A2E"/>
      <sz val="11"/>
    </font>
    <font>
      <name val="Arial"/>
      <charset val="1"/>
      <family val="0"/>
      <color rgb="FF1A1A2E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7B2FBE"/>
      <sz val="10"/>
    </font>
    <font>
      <name val="Arial"/>
      <charset val="1"/>
      <family val="0"/>
      <i val="1"/>
      <color rgb="FF8899AA"/>
      <sz val="9"/>
    </font>
    <font>
      <name val="Arial"/>
      <charset val="1"/>
      <family val="0"/>
      <i val="1"/>
      <color rgb="FF7B2FBE"/>
      <sz val="9"/>
    </font>
    <font>
      <name val="Arial"/>
      <i val="1"/>
      <color rgb="0064748B"/>
      <sz val="9"/>
    </font>
  </fonts>
  <fills count="13">
    <fill>
      <patternFill/>
    </fill>
    <fill>
      <patternFill patternType="gray125"/>
    </fill>
    <fill>
      <patternFill patternType="solid">
        <fgColor rgb="FF0D1B2A"/>
        <bgColor rgb="FF1A1A2E"/>
      </patternFill>
    </fill>
    <fill>
      <patternFill patternType="solid">
        <fgColor rgb="FF1B2A3C"/>
        <bgColor rgb="FF1A1A2E"/>
      </patternFill>
    </fill>
    <fill>
      <patternFill patternType="solid">
        <fgColor rgb="FF5C1F96"/>
        <bgColor rgb="FF7B2FBE"/>
      </patternFill>
    </fill>
    <fill>
      <patternFill patternType="solid">
        <fgColor rgb="FFF0EAF8"/>
        <bgColor rgb="FFFAF7FF"/>
      </patternFill>
    </fill>
    <fill>
      <patternFill patternType="solid">
        <fgColor rgb="FFFAF7FF"/>
        <bgColor rgb="FFFFFFFF"/>
      </patternFill>
    </fill>
    <fill>
      <patternFill patternType="solid">
        <fgColor rgb="FF2DC653"/>
        <bgColor rgb="FF00C9A7"/>
      </patternFill>
    </fill>
    <fill>
      <patternFill patternType="solid">
        <fgColor rgb="FFFFB703"/>
        <bgColor rgb="FFFB8500"/>
      </patternFill>
    </fill>
    <fill>
      <patternFill patternType="solid">
        <fgColor rgb="FFFB8500"/>
        <bgColor rgb="FFFF6600"/>
      </patternFill>
    </fill>
    <fill>
      <patternFill patternType="solid">
        <fgColor rgb="FFE63946"/>
        <bgColor rgb="FFFF6600"/>
      </patternFill>
    </fill>
    <fill>
      <patternFill patternType="solid">
        <fgColor rgb="FF8899AA"/>
        <bgColor rgb="FF808080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FFD5C8EC"/>
      </left>
      <right style="thin">
        <color rgb="FFD5C8EC"/>
      </right>
      <top style="thin">
        <color rgb="FFD5C8EC"/>
      </top>
      <bottom style="thin">
        <color rgb="FFD5C8E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center"/>
    </xf>
    <xf numFmtId="1" fontId="7" fillId="3" borderId="0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165" fontId="7" fillId="3" borderId="0" applyAlignment="1" pivotButton="0" quotePrefix="0" xfId="0">
      <alignment horizontal="center" vertical="center"/>
    </xf>
    <xf numFmtId="3" fontId="7" fillId="3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center" vertical="center"/>
    </xf>
    <xf numFmtId="9" fontId="11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164" fontId="11" fillId="6" borderId="1" applyAlignment="1" pivotButton="0" quotePrefix="0" xfId="0">
      <alignment horizontal="center" vertical="center"/>
    </xf>
    <xf numFmtId="9" fontId="11" fillId="6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166" fontId="11" fillId="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1" fontId="10" fillId="5" borderId="1" applyAlignment="1" pivotButton="0" quotePrefix="0" xfId="0">
      <alignment horizontal="center" vertical="center"/>
    </xf>
    <xf numFmtId="166" fontId="11" fillId="6" borderId="1" applyAlignment="1" pivotButton="0" quotePrefix="0" xfId="0">
      <alignment horizontal="center" vertical="center"/>
    </xf>
    <xf numFmtId="1" fontId="10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general" vertical="bottom"/>
    </xf>
    <xf numFmtId="0" fontId="9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0" fillId="2" borderId="0" applyAlignment="1" pivotButton="0" quotePrefix="0" xfId="0">
      <alignment horizontal="general" vertical="bottom"/>
    </xf>
    <xf numFmtId="0" fontId="15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164" fontId="16" fillId="5" borderId="1" applyAlignment="1" pivotButton="0" quotePrefix="0" xfId="0">
      <alignment horizontal="center" vertical="center"/>
    </xf>
    <xf numFmtId="165" fontId="16" fillId="5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164" fontId="16" fillId="6" borderId="1" applyAlignment="1" pivotButton="0" quotePrefix="0" xfId="0">
      <alignment horizontal="center" vertical="center"/>
    </xf>
    <xf numFmtId="165" fontId="16" fillId="6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  <xf numFmtId="0" fontId="17" fillId="3" borderId="0" applyAlignment="1" pivotButton="0" quotePrefix="0" xfId="0">
      <alignment horizontal="center" vertical="center"/>
    </xf>
    <xf numFmtId="1" fontId="17" fillId="3" borderId="1" applyAlignment="1" pivotButton="0" quotePrefix="0" xfId="0">
      <alignment horizontal="center" vertical="center"/>
    </xf>
    <xf numFmtId="164" fontId="17" fillId="3" borderId="1" applyAlignment="1" pivotButton="0" quotePrefix="0" xfId="0">
      <alignment horizontal="center" vertical="center"/>
    </xf>
    <xf numFmtId="165" fontId="17" fillId="3" borderId="1" applyAlignment="1" pivotButton="0" quotePrefix="0" xfId="0">
      <alignment horizontal="center" vertical="center"/>
    </xf>
    <xf numFmtId="0" fontId="18" fillId="2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general" vertical="bottom"/>
    </xf>
    <xf numFmtId="0" fontId="10" fillId="5" borderId="1" applyAlignment="1" pivotButton="0" quotePrefix="0" xfId="0">
      <alignment horizontal="left" vertical="center"/>
    </xf>
    <xf numFmtId="1" fontId="19" fillId="5" borderId="1" applyAlignment="1" pivotButton="0" quotePrefix="0" xfId="0">
      <alignment horizontal="center" vertical="center"/>
    </xf>
    <xf numFmtId="0" fontId="0" fillId="6" borderId="0" applyAlignment="1" pivotButton="0" quotePrefix="0" xfId="0">
      <alignment horizontal="general" vertical="bottom"/>
    </xf>
    <xf numFmtId="0" fontId="10" fillId="6" borderId="1" applyAlignment="1" pivotButton="0" quotePrefix="0" xfId="0">
      <alignment horizontal="left" vertical="center"/>
    </xf>
    <xf numFmtId="1" fontId="19" fillId="6" borderId="1" applyAlignment="1" pivotButton="0" quotePrefix="0" xfId="0">
      <alignment horizontal="center" vertical="center"/>
    </xf>
    <xf numFmtId="164" fontId="19" fillId="6" borderId="1" applyAlignment="1" pivotButton="0" quotePrefix="0" xfId="0">
      <alignment horizontal="center" vertical="center"/>
    </xf>
    <xf numFmtId="164" fontId="19" fillId="5" borderId="1" applyAlignment="1" pivotButton="0" quotePrefix="0" xfId="0">
      <alignment horizontal="center" vertical="center"/>
    </xf>
    <xf numFmtId="165" fontId="19" fillId="6" borderId="1" applyAlignment="1" pivotButton="0" quotePrefix="0" xfId="0">
      <alignment horizontal="center" vertical="center"/>
    </xf>
    <xf numFmtId="165" fontId="19" fillId="5" borderId="1" applyAlignment="1" pivotButton="0" quotePrefix="0" xfId="0">
      <alignment horizontal="center" vertical="center"/>
    </xf>
    <xf numFmtId="3" fontId="19" fillId="6" borderId="1" applyAlignment="1" pivotButton="0" quotePrefix="0" xfId="0">
      <alignment horizontal="center" vertical="center"/>
    </xf>
    <xf numFmtId="3" fontId="19" fillId="5" borderId="1" applyAlignment="1" pivotButton="0" quotePrefix="0" xfId="0">
      <alignment horizontal="center" vertical="center"/>
    </xf>
    <xf numFmtId="49" fontId="19" fillId="6" borderId="1" applyAlignment="1" pivotButton="0" quotePrefix="0" xfId="0">
      <alignment horizontal="center" vertical="center"/>
    </xf>
    <xf numFmtId="0" fontId="20" fillId="2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22" fillId="1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1" fontId="7" fillId="3" borderId="0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165" fontId="7" fillId="3" borderId="0" applyAlignment="1" pivotButton="0" quotePrefix="0" xfId="0">
      <alignment horizontal="center" vertical="center"/>
    </xf>
    <xf numFmtId="3" fontId="7" fillId="3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0" fillId="2" borderId="0" applyAlignment="1" pivotButton="0" quotePrefix="0" xfId="0">
      <alignment horizontal="general" vertical="bottom"/>
    </xf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center" vertical="center"/>
    </xf>
    <xf numFmtId="9" fontId="11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164" fontId="11" fillId="6" borderId="1" applyAlignment="1" pivotButton="0" quotePrefix="0" xfId="0">
      <alignment horizontal="center" vertical="center"/>
    </xf>
    <xf numFmtId="9" fontId="11" fillId="6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166" fontId="11" fillId="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1" fontId="10" fillId="5" borderId="1" applyAlignment="1" pivotButton="0" quotePrefix="0" xfId="0">
      <alignment horizontal="center" vertical="center"/>
    </xf>
    <xf numFmtId="166" fontId="11" fillId="6" borderId="1" applyAlignment="1" pivotButton="0" quotePrefix="0" xfId="0">
      <alignment horizontal="center" vertical="center"/>
    </xf>
    <xf numFmtId="1" fontId="10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general" vertical="bottom"/>
    </xf>
    <xf numFmtId="0" fontId="9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164" fontId="16" fillId="5" borderId="1" applyAlignment="1" pivotButton="0" quotePrefix="0" xfId="0">
      <alignment horizontal="center" vertical="center"/>
    </xf>
    <xf numFmtId="165" fontId="16" fillId="5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164" fontId="16" fillId="6" borderId="1" applyAlignment="1" pivotButton="0" quotePrefix="0" xfId="0">
      <alignment horizontal="center" vertical="center"/>
    </xf>
    <xf numFmtId="165" fontId="16" fillId="6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  <xf numFmtId="0" fontId="17" fillId="3" borderId="0" applyAlignment="1" pivotButton="0" quotePrefix="0" xfId="0">
      <alignment horizontal="center" vertical="center"/>
    </xf>
    <xf numFmtId="1" fontId="17" fillId="3" borderId="1" applyAlignment="1" pivotButton="0" quotePrefix="0" xfId="0">
      <alignment horizontal="center" vertical="center"/>
    </xf>
    <xf numFmtId="164" fontId="17" fillId="3" borderId="1" applyAlignment="1" pivotButton="0" quotePrefix="0" xfId="0">
      <alignment horizontal="center" vertical="center"/>
    </xf>
    <xf numFmtId="165" fontId="17" fillId="3" borderId="1" applyAlignment="1" pivotButton="0" quotePrefix="0" xfId="0">
      <alignment horizontal="center" vertical="center"/>
    </xf>
    <xf numFmtId="0" fontId="18" fillId="2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general" vertical="bottom"/>
    </xf>
    <xf numFmtId="0" fontId="10" fillId="5" borderId="1" applyAlignment="1" pivotButton="0" quotePrefix="0" xfId="0">
      <alignment horizontal="left" vertical="center"/>
    </xf>
    <xf numFmtId="1" fontId="19" fillId="5" borderId="1" applyAlignment="1" pivotButton="0" quotePrefix="0" xfId="0">
      <alignment horizontal="center" vertical="center"/>
    </xf>
    <xf numFmtId="0" fontId="0" fillId="6" borderId="0" applyAlignment="1" pivotButton="0" quotePrefix="0" xfId="0">
      <alignment horizontal="general" vertical="bottom"/>
    </xf>
    <xf numFmtId="0" fontId="10" fillId="6" borderId="1" applyAlignment="1" pivotButton="0" quotePrefix="0" xfId="0">
      <alignment horizontal="left" vertical="center"/>
    </xf>
    <xf numFmtId="1" fontId="19" fillId="6" borderId="1" applyAlignment="1" pivotButton="0" quotePrefix="0" xfId="0">
      <alignment horizontal="center" vertical="center"/>
    </xf>
    <xf numFmtId="164" fontId="19" fillId="6" borderId="1" applyAlignment="1" pivotButton="0" quotePrefix="0" xfId="0">
      <alignment horizontal="center" vertical="center"/>
    </xf>
    <xf numFmtId="164" fontId="19" fillId="5" borderId="1" applyAlignment="1" pivotButton="0" quotePrefix="0" xfId="0">
      <alignment horizontal="center" vertical="center"/>
    </xf>
    <xf numFmtId="165" fontId="19" fillId="6" borderId="1" applyAlignment="1" pivotButton="0" quotePrefix="0" xfId="0">
      <alignment horizontal="center" vertical="center"/>
    </xf>
    <xf numFmtId="165" fontId="19" fillId="5" borderId="1" applyAlignment="1" pivotButton="0" quotePrefix="0" xfId="0">
      <alignment horizontal="center" vertical="center"/>
    </xf>
    <xf numFmtId="3" fontId="19" fillId="6" borderId="1" applyAlignment="1" pivotButton="0" quotePrefix="0" xfId="0">
      <alignment horizontal="center" vertical="center"/>
    </xf>
    <xf numFmtId="3" fontId="19" fillId="5" borderId="1" applyAlignment="1" pivotButton="0" quotePrefix="0" xfId="0">
      <alignment horizontal="center" vertical="center"/>
    </xf>
    <xf numFmtId="49" fontId="19" fillId="6" borderId="1" applyAlignment="1" pivotButton="0" quotePrefix="0" xfId="0">
      <alignment horizontal="center" vertical="center"/>
    </xf>
    <xf numFmtId="0" fontId="20" fillId="2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B2FBE"/>
      <rgbColor rgb="FFFAF7FF"/>
      <rgbColor rgb="FFF0EAF8"/>
      <rgbColor rgb="FF660066"/>
      <rgbColor rgb="FFFF8080"/>
      <rgbColor rgb="FF0066CC"/>
      <rgbColor rgb="FFD5C8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9A7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703"/>
      <rgbColor rgb="FFFB8500"/>
      <rgbColor rgb="FFFF6600"/>
      <rgbColor rgb="FF666699"/>
      <rgbColor rgb="FF8899AA"/>
      <rgbColor rgb="FF003366"/>
      <rgbColor rgb="FF2DC653"/>
      <rgbColor rgb="FF0D1B2A"/>
      <rgbColor rgb="FF1A1A2E"/>
      <rgbColor rgb="FF993300"/>
      <rgbColor rgb="FFE63946"/>
      <rgbColor rgb="FF5C1F96"/>
      <rgbColor rgb="FF1B2A3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7B2FBE"/>
    <outlinePr summaryBelow="1" summaryRight="1"/>
    <pageSetUpPr fitToPage="0"/>
  </sheetPr>
  <dimension ref="A1:K3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2" min="1" max="1"/>
    <col width="12" customWidth="1" style="62" min="2" max="10"/>
    <col width="3" customWidth="1" style="62" min="11" max="11"/>
  </cols>
  <sheetData>
    <row r="1" ht="30" customHeight="1" s="63">
      <c r="A1" s="64" t="inlineStr">
        <is>
          <t>🗂  PROJECT KPI DASHBOARD  |  2026</t>
        </is>
      </c>
    </row>
    <row r="2" ht="18" customHeight="1" s="63">
      <c r="A2" s="65" t="inlineStr">
        <is>
          <t>Agency &amp; Freelance Portfolio  |  Delivery • Budget • Time • Team Performance  |  Auto-updates from Project Data sheets</t>
        </is>
      </c>
    </row>
    <row r="3" ht="16" customHeight="1" s="63">
      <c r="A3" s="66" t="inlineStr">
        <is>
          <t>Prepared by Farhan Siddique  |  Digital Marketer &amp; Data Analyst  |  HubSpot, Google &amp; Microsoft Certified</t>
        </is>
      </c>
    </row>
    <row r="4" ht="18" customHeight="1" s="63">
      <c r="B4" s="67" t="inlineStr">
        <is>
          <t>TOTAL PROJECTS</t>
        </is>
      </c>
      <c r="D4" s="67" t="inlineStr">
        <is>
          <t>COMPLETED</t>
        </is>
      </c>
      <c r="F4" s="67" t="inlineStr">
        <is>
          <t>IN PROGRESS</t>
        </is>
      </c>
      <c r="H4" s="67" t="inlineStr">
        <is>
          <t>PLANNING</t>
        </is>
      </c>
    </row>
    <row r="5" ht="18" customHeight="1" s="63">
      <c r="B5" s="68">
        <f>COUNTA('📁 Project Data'!B3:B17)</f>
        <v/>
      </c>
      <c r="D5" s="68">
        <f>COUNTIF('📁 Project Data'!N3:N17,"Completed")</f>
        <v/>
      </c>
      <c r="F5" s="68">
        <f>COUNTIF('📁 Project Data'!N3:N17,"In Progress")</f>
        <v/>
      </c>
      <c r="H5" s="68">
        <f>COUNTIF('📁 Project Data'!N3:N17,"Planning")</f>
        <v/>
      </c>
    </row>
    <row r="6" ht="18" customHeight="1" s="63"/>
    <row r="7" ht="18" customHeight="1" s="63"/>
    <row r="8" ht="6" customHeight="1" s="63"/>
    <row r="9" ht="18" customHeight="1" s="63">
      <c r="B9" s="67" t="inlineStr">
        <is>
          <t>TOTAL PORTFOLIO VALUE ($)</t>
        </is>
      </c>
      <c r="D9" s="67" t="inlineStr">
        <is>
          <t>ACTUAL COST TO DATE ($)</t>
        </is>
      </c>
      <c r="F9" s="67" t="inlineStr">
        <is>
          <t>BUDGET UTILIZATION (%)</t>
        </is>
      </c>
      <c r="H9" s="67" t="inlineStr">
        <is>
          <t>AVG COMPLETION (%)</t>
        </is>
      </c>
    </row>
    <row r="10" ht="18" customHeight="1" s="63">
      <c r="B10" s="69">
        <f>SUM('📁 Project Data'!H3:H17)</f>
        <v/>
      </c>
      <c r="D10" s="69">
        <f>SUM('📁 Project Data'!I3:I17)</f>
        <v/>
      </c>
      <c r="F10" s="70">
        <f>IFERROR(SUM('📁 Project Data'!I3:I17)/SUM('📁 Project Data'!H3:H17),0)</f>
        <v/>
      </c>
      <c r="H10" s="70">
        <f>IFERROR(AVERAGE('📁 Project Data'!L3:L17),0)</f>
        <v/>
      </c>
    </row>
    <row r="11" ht="18" customHeight="1" s="63"/>
    <row r="12" ht="18" customHeight="1" s="63"/>
    <row r="13" ht="6" customHeight="1" s="63"/>
    <row r="14" ht="18" customHeight="1" s="63">
      <c r="B14" s="67" t="inlineStr">
        <is>
          <t>TOTAL HOURS BUDGETED</t>
        </is>
      </c>
      <c r="D14" s="67" t="inlineStr">
        <is>
          <t>HOURS LOGGED TO DATE</t>
        </is>
      </c>
      <c r="F14" s="67" t="inlineStr">
        <is>
          <t>HOURS EFFICIENCY (%)</t>
        </is>
      </c>
      <c r="H14" s="67" t="inlineStr">
        <is>
          <t>CRITICAL PRIORITY PROJECTS</t>
        </is>
      </c>
    </row>
    <row r="15" ht="18" customHeight="1" s="63">
      <c r="B15" s="71">
        <f>SUM('📁 Project Data'!J3:J17)</f>
        <v/>
      </c>
      <c r="D15" s="71">
        <f>SUM('📁 Project Data'!K3:K17)</f>
        <v/>
      </c>
      <c r="F15" s="70">
        <f>IFERROR(SUM('📁 Project Data'!K3:K17)/SUM('📁 Project Data'!J3:J17),0)</f>
        <v/>
      </c>
      <c r="H15" s="68">
        <f>COUNTIF('📁 Project Data'!M3:M17,"Critical")</f>
        <v/>
      </c>
    </row>
    <row r="16" ht="18" customHeight="1" s="63"/>
    <row r="17" ht="18" customHeight="1" s="63"/>
    <row r="18" ht="6" customHeight="1" s="63"/>
    <row r="19" ht="21.75" customHeight="1" s="63">
      <c r="A19" s="72" t="inlineStr">
        <is>
          <t>PROJECT PORTFOLIO SUMMARY  |  All Projects</t>
        </is>
      </c>
    </row>
    <row r="20" ht="19.5" customHeight="1" s="63">
      <c r="A20" s="73" t="n"/>
      <c r="B20" s="73" t="inlineStr">
        <is>
          <t>Project Name</t>
        </is>
      </c>
      <c r="C20" s="73" t="inlineStr">
        <is>
          <t>Client</t>
        </is>
      </c>
      <c r="D20" s="73" t="inlineStr">
        <is>
          <t>Type</t>
        </is>
      </c>
      <c r="E20" s="73" t="inlineStr">
        <is>
          <t>Budget ($)</t>
        </is>
      </c>
      <c r="F20" s="73" t="inlineStr">
        <is>
          <t>Actual Cost</t>
        </is>
      </c>
      <c r="G20" s="73" t="inlineStr">
        <is>
          <t>% Used</t>
        </is>
      </c>
      <c r="H20" s="73" t="inlineStr">
        <is>
          <t>Completion</t>
        </is>
      </c>
      <c r="I20" s="73" t="inlineStr">
        <is>
          <t>Hours Used</t>
        </is>
      </c>
      <c r="J20" s="73" t="inlineStr">
        <is>
          <t>Priority</t>
        </is>
      </c>
      <c r="K20" s="73" t="inlineStr">
        <is>
          <t>Status</t>
        </is>
      </c>
    </row>
    <row r="21" ht="18" customHeight="1" s="63">
      <c r="A21" s="74" t="n"/>
      <c r="B21" s="75">
        <f>'📁 Project Data'!B3</f>
        <v/>
      </c>
      <c r="C21" s="76">
        <f>'📁 Project Data'!C3</f>
        <v/>
      </c>
      <c r="D21" s="76">
        <f>'📁 Project Data'!D3</f>
        <v/>
      </c>
      <c r="E21" s="77">
        <f>'📁 Project Data'!H3</f>
        <v/>
      </c>
      <c r="F21" s="77">
        <f>'📁 Project Data'!I3</f>
        <v/>
      </c>
      <c r="G21" s="78">
        <f>IFERROR(F21/E21,0)</f>
        <v/>
      </c>
      <c r="H21" s="78">
        <f>'📁 Project Data'!L3</f>
        <v/>
      </c>
      <c r="I21" s="78">
        <f>IFERROR('📁 Project Data'!K3/'📁 Project Data'!J3,0)</f>
        <v/>
      </c>
      <c r="J21" s="76">
        <f>'📁 Project Data'!M3</f>
        <v/>
      </c>
      <c r="K21" s="76">
        <f>'📁 Project Data'!N3</f>
        <v/>
      </c>
    </row>
    <row r="22" ht="18" customHeight="1" s="63">
      <c r="A22" s="74" t="n"/>
      <c r="B22" s="79">
        <f>'📁 Project Data'!B4</f>
        <v/>
      </c>
      <c r="C22" s="80">
        <f>'📁 Project Data'!C4</f>
        <v/>
      </c>
      <c r="D22" s="80">
        <f>'📁 Project Data'!D4</f>
        <v/>
      </c>
      <c r="E22" s="81">
        <f>'📁 Project Data'!H4</f>
        <v/>
      </c>
      <c r="F22" s="81">
        <f>'📁 Project Data'!I4</f>
        <v/>
      </c>
      <c r="G22" s="82">
        <f>IFERROR(F22/E22,0)</f>
        <v/>
      </c>
      <c r="H22" s="82">
        <f>'📁 Project Data'!L4</f>
        <v/>
      </c>
      <c r="I22" s="82">
        <f>IFERROR('📁 Project Data'!K4/'📁 Project Data'!J4,0)</f>
        <v/>
      </c>
      <c r="J22" s="80">
        <f>'📁 Project Data'!M4</f>
        <v/>
      </c>
      <c r="K22" s="80">
        <f>'📁 Project Data'!N4</f>
        <v/>
      </c>
    </row>
    <row r="23" ht="18" customHeight="1" s="63">
      <c r="A23" s="74" t="n"/>
      <c r="B23" s="75">
        <f>'📁 Project Data'!B5</f>
        <v/>
      </c>
      <c r="C23" s="76">
        <f>'📁 Project Data'!C5</f>
        <v/>
      </c>
      <c r="D23" s="76">
        <f>'📁 Project Data'!D5</f>
        <v/>
      </c>
      <c r="E23" s="77">
        <f>'📁 Project Data'!H5</f>
        <v/>
      </c>
      <c r="F23" s="77">
        <f>'📁 Project Data'!I5</f>
        <v/>
      </c>
      <c r="G23" s="78">
        <f>IFERROR(F23/E23,0)</f>
        <v/>
      </c>
      <c r="H23" s="78">
        <f>'📁 Project Data'!L5</f>
        <v/>
      </c>
      <c r="I23" s="78">
        <f>IFERROR('📁 Project Data'!K5/'📁 Project Data'!J5,0)</f>
        <v/>
      </c>
      <c r="J23" s="76">
        <f>'📁 Project Data'!M5</f>
        <v/>
      </c>
      <c r="K23" s="76">
        <f>'📁 Project Data'!N5</f>
        <v/>
      </c>
    </row>
    <row r="24" ht="18" customHeight="1" s="63">
      <c r="A24" s="74" t="n"/>
      <c r="B24" s="79">
        <f>'📁 Project Data'!B6</f>
        <v/>
      </c>
      <c r="C24" s="80">
        <f>'📁 Project Data'!C6</f>
        <v/>
      </c>
      <c r="D24" s="80">
        <f>'📁 Project Data'!D6</f>
        <v/>
      </c>
      <c r="E24" s="81">
        <f>'📁 Project Data'!H6</f>
        <v/>
      </c>
      <c r="F24" s="81">
        <f>'📁 Project Data'!I6</f>
        <v/>
      </c>
      <c r="G24" s="82">
        <f>IFERROR(F24/E24,0)</f>
        <v/>
      </c>
      <c r="H24" s="82">
        <f>'📁 Project Data'!L6</f>
        <v/>
      </c>
      <c r="I24" s="82">
        <f>IFERROR('📁 Project Data'!K6/'📁 Project Data'!J6,0)</f>
        <v/>
      </c>
      <c r="J24" s="80">
        <f>'📁 Project Data'!M6</f>
        <v/>
      </c>
      <c r="K24" s="80">
        <f>'📁 Project Data'!N6</f>
        <v/>
      </c>
    </row>
    <row r="25" ht="18" customHeight="1" s="63">
      <c r="A25" s="74" t="n"/>
      <c r="B25" s="75">
        <f>'📁 Project Data'!B7</f>
        <v/>
      </c>
      <c r="C25" s="76">
        <f>'📁 Project Data'!C7</f>
        <v/>
      </c>
      <c r="D25" s="76">
        <f>'📁 Project Data'!D7</f>
        <v/>
      </c>
      <c r="E25" s="77">
        <f>'📁 Project Data'!H7</f>
        <v/>
      </c>
      <c r="F25" s="77">
        <f>'📁 Project Data'!I7</f>
        <v/>
      </c>
      <c r="G25" s="78">
        <f>IFERROR(F25/E25,0)</f>
        <v/>
      </c>
      <c r="H25" s="78">
        <f>'📁 Project Data'!L7</f>
        <v/>
      </c>
      <c r="I25" s="78">
        <f>IFERROR('📁 Project Data'!K7/'📁 Project Data'!J7,0)</f>
        <v/>
      </c>
      <c r="J25" s="76">
        <f>'📁 Project Data'!M7</f>
        <v/>
      </c>
      <c r="K25" s="76">
        <f>'📁 Project Data'!N7</f>
        <v/>
      </c>
    </row>
    <row r="26" ht="18" customHeight="1" s="63">
      <c r="A26" s="74" t="n"/>
      <c r="B26" s="79">
        <f>'📁 Project Data'!B8</f>
        <v/>
      </c>
      <c r="C26" s="80">
        <f>'📁 Project Data'!C8</f>
        <v/>
      </c>
      <c r="D26" s="80">
        <f>'📁 Project Data'!D8</f>
        <v/>
      </c>
      <c r="E26" s="81">
        <f>'📁 Project Data'!H8</f>
        <v/>
      </c>
      <c r="F26" s="81">
        <f>'📁 Project Data'!I8</f>
        <v/>
      </c>
      <c r="G26" s="82">
        <f>IFERROR(F26/E26,0)</f>
        <v/>
      </c>
      <c r="H26" s="82">
        <f>'📁 Project Data'!L8</f>
        <v/>
      </c>
      <c r="I26" s="82">
        <f>IFERROR('📁 Project Data'!K8/'📁 Project Data'!J8,0)</f>
        <v/>
      </c>
      <c r="J26" s="80">
        <f>'📁 Project Data'!M8</f>
        <v/>
      </c>
      <c r="K26" s="80">
        <f>'📁 Project Data'!N8</f>
        <v/>
      </c>
    </row>
    <row r="27" ht="18" customHeight="1" s="63">
      <c r="A27" s="74" t="n"/>
      <c r="B27" s="75">
        <f>'📁 Project Data'!B9</f>
        <v/>
      </c>
      <c r="C27" s="76">
        <f>'📁 Project Data'!C9</f>
        <v/>
      </c>
      <c r="D27" s="76">
        <f>'📁 Project Data'!D9</f>
        <v/>
      </c>
      <c r="E27" s="77">
        <f>'📁 Project Data'!H9</f>
        <v/>
      </c>
      <c r="F27" s="77">
        <f>'📁 Project Data'!I9</f>
        <v/>
      </c>
      <c r="G27" s="78">
        <f>IFERROR(F27/E27,0)</f>
        <v/>
      </c>
      <c r="H27" s="78">
        <f>'📁 Project Data'!L9</f>
        <v/>
      </c>
      <c r="I27" s="78">
        <f>IFERROR('📁 Project Data'!K9/'📁 Project Data'!J9,0)</f>
        <v/>
      </c>
      <c r="J27" s="76">
        <f>'📁 Project Data'!M9</f>
        <v/>
      </c>
      <c r="K27" s="76">
        <f>'📁 Project Data'!N9</f>
        <v/>
      </c>
    </row>
    <row r="28" ht="18" customHeight="1" s="63">
      <c r="A28" s="74" t="n"/>
      <c r="B28" s="79">
        <f>'📁 Project Data'!B10</f>
        <v/>
      </c>
      <c r="C28" s="80">
        <f>'📁 Project Data'!C10</f>
        <v/>
      </c>
      <c r="D28" s="80">
        <f>'📁 Project Data'!D10</f>
        <v/>
      </c>
      <c r="E28" s="81">
        <f>'📁 Project Data'!H10</f>
        <v/>
      </c>
      <c r="F28" s="81">
        <f>'📁 Project Data'!I10</f>
        <v/>
      </c>
      <c r="G28" s="82">
        <f>IFERROR(F28/E28,0)</f>
        <v/>
      </c>
      <c r="H28" s="82">
        <f>'📁 Project Data'!L10</f>
        <v/>
      </c>
      <c r="I28" s="82">
        <f>IFERROR('📁 Project Data'!K10/'📁 Project Data'!J10,0)</f>
        <v/>
      </c>
      <c r="J28" s="80">
        <f>'📁 Project Data'!M10</f>
        <v/>
      </c>
      <c r="K28" s="80">
        <f>'📁 Project Data'!N10</f>
        <v/>
      </c>
    </row>
    <row r="29" ht="18" customHeight="1" s="63">
      <c r="A29" s="74" t="n"/>
      <c r="B29" s="75">
        <f>'📁 Project Data'!B11</f>
        <v/>
      </c>
      <c r="C29" s="76">
        <f>'📁 Project Data'!C11</f>
        <v/>
      </c>
      <c r="D29" s="76">
        <f>'📁 Project Data'!D11</f>
        <v/>
      </c>
      <c r="E29" s="77">
        <f>'📁 Project Data'!H11</f>
        <v/>
      </c>
      <c r="F29" s="77">
        <f>'📁 Project Data'!I11</f>
        <v/>
      </c>
      <c r="G29" s="78">
        <f>IFERROR(F29/E29,0)</f>
        <v/>
      </c>
      <c r="H29" s="78">
        <f>'📁 Project Data'!L11</f>
        <v/>
      </c>
      <c r="I29" s="78">
        <f>IFERROR('📁 Project Data'!K11/'📁 Project Data'!J11,0)</f>
        <v/>
      </c>
      <c r="J29" s="76">
        <f>'📁 Project Data'!M11</f>
        <v/>
      </c>
      <c r="K29" s="76">
        <f>'📁 Project Data'!N11</f>
        <v/>
      </c>
    </row>
    <row r="30" ht="18" customHeight="1" s="63">
      <c r="A30" s="74" t="n"/>
      <c r="B30" s="79">
        <f>'📁 Project Data'!B12</f>
        <v/>
      </c>
      <c r="C30" s="80">
        <f>'📁 Project Data'!C12</f>
        <v/>
      </c>
      <c r="D30" s="80">
        <f>'📁 Project Data'!D12</f>
        <v/>
      </c>
      <c r="E30" s="81">
        <f>'📁 Project Data'!H12</f>
        <v/>
      </c>
      <c r="F30" s="81">
        <f>'📁 Project Data'!I12</f>
        <v/>
      </c>
      <c r="G30" s="82">
        <f>IFERROR(F30/E30,0)</f>
        <v/>
      </c>
      <c r="H30" s="82">
        <f>'📁 Project Data'!L12</f>
        <v/>
      </c>
      <c r="I30" s="82">
        <f>IFERROR('📁 Project Data'!K12/'📁 Project Data'!J12,0)</f>
        <v/>
      </c>
      <c r="J30" s="80">
        <f>'📁 Project Data'!M12</f>
        <v/>
      </c>
      <c r="K30" s="80">
        <f>'📁 Project Data'!N12</f>
        <v/>
      </c>
    </row>
    <row r="31" ht="18" customHeight="1" s="63">
      <c r="A31" s="74" t="n"/>
      <c r="B31" s="75">
        <f>'📁 Project Data'!B13</f>
        <v/>
      </c>
      <c r="C31" s="76">
        <f>'📁 Project Data'!C13</f>
        <v/>
      </c>
      <c r="D31" s="76">
        <f>'📁 Project Data'!D13</f>
        <v/>
      </c>
      <c r="E31" s="77">
        <f>'📁 Project Data'!H13</f>
        <v/>
      </c>
      <c r="F31" s="77">
        <f>'📁 Project Data'!I13</f>
        <v/>
      </c>
      <c r="G31" s="78">
        <f>IFERROR(F31/E31,0)</f>
        <v/>
      </c>
      <c r="H31" s="78">
        <f>'📁 Project Data'!L13</f>
        <v/>
      </c>
      <c r="I31" s="78">
        <f>IFERROR('📁 Project Data'!K13/'📁 Project Data'!J13,0)</f>
        <v/>
      </c>
      <c r="J31" s="76">
        <f>'📁 Project Data'!M13</f>
        <v/>
      </c>
      <c r="K31" s="76">
        <f>'📁 Project Data'!N13</f>
        <v/>
      </c>
    </row>
    <row r="32" ht="18" customHeight="1" s="63">
      <c r="A32" s="74" t="n"/>
      <c r="B32" s="79">
        <f>'📁 Project Data'!B14</f>
        <v/>
      </c>
      <c r="C32" s="80">
        <f>'📁 Project Data'!C14</f>
        <v/>
      </c>
      <c r="D32" s="80">
        <f>'📁 Project Data'!D14</f>
        <v/>
      </c>
      <c r="E32" s="81">
        <f>'📁 Project Data'!H14</f>
        <v/>
      </c>
      <c r="F32" s="81">
        <f>'📁 Project Data'!I14</f>
        <v/>
      </c>
      <c r="G32" s="82">
        <f>IFERROR(F32/E32,0)</f>
        <v/>
      </c>
      <c r="H32" s="82">
        <f>'📁 Project Data'!L14</f>
        <v/>
      </c>
      <c r="I32" s="82">
        <f>IFERROR('📁 Project Data'!K14/'📁 Project Data'!J14,0)</f>
        <v/>
      </c>
      <c r="J32" s="80">
        <f>'📁 Project Data'!M14</f>
        <v/>
      </c>
      <c r="K32" s="80">
        <f>'📁 Project Data'!N14</f>
        <v/>
      </c>
    </row>
    <row r="33" ht="18" customHeight="1" s="63">
      <c r="A33" s="74" t="n"/>
      <c r="B33" s="75">
        <f>'📁 Project Data'!B15</f>
        <v/>
      </c>
      <c r="C33" s="76">
        <f>'📁 Project Data'!C15</f>
        <v/>
      </c>
      <c r="D33" s="76">
        <f>'📁 Project Data'!D15</f>
        <v/>
      </c>
      <c r="E33" s="77">
        <f>'📁 Project Data'!H15</f>
        <v/>
      </c>
      <c r="F33" s="77">
        <f>'📁 Project Data'!I15</f>
        <v/>
      </c>
      <c r="G33" s="78">
        <f>IFERROR(F33/E33,0)</f>
        <v/>
      </c>
      <c r="H33" s="78">
        <f>'📁 Project Data'!L15</f>
        <v/>
      </c>
      <c r="I33" s="78">
        <f>IFERROR('📁 Project Data'!K15/'📁 Project Data'!J15,0)</f>
        <v/>
      </c>
      <c r="J33" s="76">
        <f>'📁 Project Data'!M15</f>
        <v/>
      </c>
      <c r="K33" s="76">
        <f>'📁 Project Data'!N15</f>
        <v/>
      </c>
    </row>
    <row r="34" ht="18" customHeight="1" s="63">
      <c r="A34" s="74" t="n"/>
      <c r="B34" s="79">
        <f>'📁 Project Data'!B16</f>
        <v/>
      </c>
      <c r="C34" s="80">
        <f>'📁 Project Data'!C16</f>
        <v/>
      </c>
      <c r="D34" s="80">
        <f>'📁 Project Data'!D16</f>
        <v/>
      </c>
      <c r="E34" s="81">
        <f>'📁 Project Data'!H16</f>
        <v/>
      </c>
      <c r="F34" s="81">
        <f>'📁 Project Data'!I16</f>
        <v/>
      </c>
      <c r="G34" s="82">
        <f>IFERROR(F34/E34,0)</f>
        <v/>
      </c>
      <c r="H34" s="82">
        <f>'📁 Project Data'!L16</f>
        <v/>
      </c>
      <c r="I34" s="82">
        <f>IFERROR('📁 Project Data'!K16/'📁 Project Data'!J16,0)</f>
        <v/>
      </c>
      <c r="J34" s="80">
        <f>'📁 Project Data'!M16</f>
        <v/>
      </c>
      <c r="K34" s="80">
        <f>'📁 Project Data'!N16</f>
        <v/>
      </c>
    </row>
    <row r="35" ht="18" customHeight="1" s="63">
      <c r="A35" s="74" t="n"/>
      <c r="B35" s="75">
        <f>'📁 Project Data'!B17</f>
        <v/>
      </c>
      <c r="C35" s="76">
        <f>'📁 Project Data'!C17</f>
        <v/>
      </c>
      <c r="D35" s="76">
        <f>'📁 Project Data'!D17</f>
        <v/>
      </c>
      <c r="E35" s="77">
        <f>'📁 Project Data'!H17</f>
        <v/>
      </c>
      <c r="F35" s="77">
        <f>'📁 Project Data'!I17</f>
        <v/>
      </c>
      <c r="G35" s="78">
        <f>IFERROR(F35/E35,0)</f>
        <v/>
      </c>
      <c r="H35" s="78">
        <f>'📁 Project Data'!L17</f>
        <v/>
      </c>
      <c r="I35" s="78">
        <f>IFERROR('📁 Project Data'!K17/'📁 Project Data'!J17,0)</f>
        <v/>
      </c>
      <c r="J35" s="76">
        <f>'📁 Project Data'!M17</f>
        <v/>
      </c>
      <c r="K35" s="76">
        <f>'📁 Project Data'!N17</f>
        <v/>
      </c>
    </row>
    <row r="36" ht="6" customHeight="1" s="63"/>
  </sheetData>
  <mergeCells count="28">
    <mergeCell ref="F4:G4"/>
    <mergeCell ref="H15:I17"/>
    <mergeCell ref="H5:I7"/>
    <mergeCell ref="D10:E12"/>
    <mergeCell ref="H4:I4"/>
    <mergeCell ref="A1:K1"/>
    <mergeCell ref="H9:I9"/>
    <mergeCell ref="H10:I12"/>
    <mergeCell ref="F15:G17"/>
    <mergeCell ref="F5:G7"/>
    <mergeCell ref="B14:C14"/>
    <mergeCell ref="B10:C12"/>
    <mergeCell ref="A3:K3"/>
    <mergeCell ref="A2:K2"/>
    <mergeCell ref="D4:E4"/>
    <mergeCell ref="D15:E17"/>
    <mergeCell ref="B9:C9"/>
    <mergeCell ref="D9:E9"/>
    <mergeCell ref="F9:G9"/>
    <mergeCell ref="D5:E7"/>
    <mergeCell ref="B15:C17"/>
    <mergeCell ref="B5:C7"/>
    <mergeCell ref="A19:K19"/>
    <mergeCell ref="D14:E14"/>
    <mergeCell ref="F14:G14"/>
    <mergeCell ref="H14:I14"/>
    <mergeCell ref="B4:C4"/>
    <mergeCell ref="F10:G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DC653"/>
    <outlinePr summaryBelow="1" summaryRight="1"/>
    <pageSetUpPr fitToPage="0"/>
  </sheetPr>
  <dimension ref="A1:P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62" min="1" max="1"/>
    <col width="22" customWidth="1" style="62" min="2" max="2"/>
    <col width="16" customWidth="1" style="62" min="3" max="3"/>
    <col width="14" customWidth="1" style="62" min="4" max="4"/>
    <col width="12" customWidth="1" style="62" min="5" max="6"/>
    <col width="14" customWidth="1" style="62" min="7" max="8"/>
    <col width="12" customWidth="1" style="62" min="9" max="9"/>
    <col width="14" customWidth="1" style="62" min="10" max="10"/>
    <col width="12" customWidth="1" style="62" min="11" max="11"/>
    <col width="14" customWidth="1" style="62" min="12" max="12"/>
    <col width="12" customWidth="1" style="62" min="13" max="14"/>
    <col width="16" customWidth="1" style="62" min="15" max="15"/>
    <col width="5" customWidth="1" style="62" min="16" max="16"/>
  </cols>
  <sheetData>
    <row r="1" ht="27.75" customHeight="1" s="63">
      <c r="A1" s="83" t="inlineStr">
        <is>
          <t>PROJECT KPI DATA  |  2026  |  Agency / Freelancer Project Portfolio Tracker</t>
        </is>
      </c>
    </row>
    <row r="2" ht="19.5" customHeight="1" s="63">
      <c r="A2" s="73" t="inlineStr">
        <is>
          <t>#</t>
        </is>
      </c>
      <c r="B2" s="73" t="inlineStr">
        <is>
          <t>Project Name</t>
        </is>
      </c>
      <c r="C2" s="73" t="inlineStr">
        <is>
          <t>Client</t>
        </is>
      </c>
      <c r="D2" s="73" t="inlineStr">
        <is>
          <t>Type</t>
        </is>
      </c>
      <c r="E2" s="73" t="inlineStr">
        <is>
          <t>PM</t>
        </is>
      </c>
      <c r="F2" s="73" t="inlineStr">
        <is>
          <t>Start Date</t>
        </is>
      </c>
      <c r="G2" s="73" t="inlineStr">
        <is>
          <t>End Date</t>
        </is>
      </c>
      <c r="H2" s="73" t="inlineStr">
        <is>
          <t>Budget ($)</t>
        </is>
      </c>
      <c r="I2" s="73" t="inlineStr">
        <is>
          <t>Actual Cost ($)</t>
        </is>
      </c>
      <c r="J2" s="73" t="inlineStr">
        <is>
          <t>Hours Budgeted</t>
        </is>
      </c>
      <c r="K2" s="73" t="inlineStr">
        <is>
          <t>Hours Logged</t>
        </is>
      </c>
      <c r="L2" s="73" t="inlineStr">
        <is>
          <t>% Complete</t>
        </is>
      </c>
      <c r="M2" s="73" t="inlineStr">
        <is>
          <t>Priority</t>
        </is>
      </c>
      <c r="N2" s="73" t="inlineStr">
        <is>
          <t>Status</t>
        </is>
      </c>
      <c r="O2" s="73" t="inlineStr">
        <is>
          <t>Health Score</t>
        </is>
      </c>
      <c r="P2" s="73" t="n"/>
    </row>
    <row r="3" ht="18.75" customHeight="1" s="63">
      <c r="A3" s="76" t="n">
        <v>1</v>
      </c>
      <c r="B3" s="75" t="inlineStr">
        <is>
          <t>Brand Identity Redesign</t>
        </is>
      </c>
      <c r="C3" s="76" t="inlineStr">
        <is>
          <t>Apex Corp</t>
        </is>
      </c>
      <c r="D3" s="76" t="inlineStr">
        <is>
          <t>Branding</t>
        </is>
      </c>
      <c r="E3" s="76" t="inlineStr">
        <is>
          <t>Sarah K.</t>
        </is>
      </c>
      <c r="F3" s="84" t="inlineStr">
        <is>
          <t>2026-01-10</t>
        </is>
      </c>
      <c r="G3" s="84" t="inlineStr">
        <is>
          <t>2026-03-15</t>
        </is>
      </c>
      <c r="H3" s="77" t="n">
        <v>18000</v>
      </c>
      <c r="I3" s="77" t="n">
        <v>16500</v>
      </c>
      <c r="J3" s="76" t="n">
        <v>220</v>
      </c>
      <c r="K3" s="76" t="n">
        <v>198</v>
      </c>
      <c r="L3" s="78" t="n">
        <v>1</v>
      </c>
      <c r="M3" s="76" t="inlineStr">
        <is>
          <t>High</t>
        </is>
      </c>
      <c r="N3" s="85" t="inlineStr">
        <is>
          <t>Completed</t>
        </is>
      </c>
      <c r="O3" s="86">
        <f>ROUND(((I3/H3)*40+(L3)*60)/100*100,0)</f>
        <v/>
      </c>
      <c r="P3" s="74" t="n"/>
    </row>
    <row r="4" ht="18.75" customHeight="1" s="63">
      <c r="A4" s="80" t="n">
        <v>2</v>
      </c>
      <c r="B4" s="79" t="inlineStr">
        <is>
          <t>E-Commerce Website Launch</t>
        </is>
      </c>
      <c r="C4" s="80" t="inlineStr">
        <is>
          <t>RetailNow</t>
        </is>
      </c>
      <c r="D4" s="80" t="inlineStr">
        <is>
          <t>Web Dev</t>
        </is>
      </c>
      <c r="E4" s="80" t="inlineStr">
        <is>
          <t>James T.</t>
        </is>
      </c>
      <c r="F4" s="87" t="inlineStr">
        <is>
          <t>2026-01-20</t>
        </is>
      </c>
      <c r="G4" s="87" t="inlineStr">
        <is>
          <t>2026-04-30</t>
        </is>
      </c>
      <c r="H4" s="81" t="n">
        <v>45000</v>
      </c>
      <c r="I4" s="81" t="n">
        <v>41200</v>
      </c>
      <c r="J4" s="80" t="n">
        <v>480</v>
      </c>
      <c r="K4" s="80" t="n">
        <v>440</v>
      </c>
      <c r="L4" s="82" t="n">
        <v>1</v>
      </c>
      <c r="M4" s="80" t="inlineStr">
        <is>
          <t>Critical</t>
        </is>
      </c>
      <c r="N4" s="85" t="inlineStr">
        <is>
          <t>Completed</t>
        </is>
      </c>
      <c r="O4" s="88">
        <f>ROUND(((I4/H4)*40+(L4)*60)/100*100,0)</f>
        <v/>
      </c>
      <c r="P4" s="74" t="n"/>
    </row>
    <row r="5" ht="18.75" customHeight="1" s="63">
      <c r="A5" s="76" t="n">
        <v>3</v>
      </c>
      <c r="B5" s="75" t="inlineStr">
        <is>
          <t>SEO Campaign — Q1/Q2</t>
        </is>
      </c>
      <c r="C5" s="76" t="inlineStr">
        <is>
          <t>GreenLeaf Co.</t>
        </is>
      </c>
      <c r="D5" s="76" t="inlineStr">
        <is>
          <t>SEO</t>
        </is>
      </c>
      <c r="E5" s="76" t="inlineStr">
        <is>
          <t>Alex M.</t>
        </is>
      </c>
      <c r="F5" s="84" t="inlineStr">
        <is>
          <t>2026-02-01</t>
        </is>
      </c>
      <c r="G5" s="84" t="inlineStr">
        <is>
          <t>2026-06-30</t>
        </is>
      </c>
      <c r="H5" s="77" t="n">
        <v>12000</v>
      </c>
      <c r="I5" s="77" t="n">
        <v>9800</v>
      </c>
      <c r="J5" s="76" t="n">
        <v>160</v>
      </c>
      <c r="K5" s="76" t="n">
        <v>142</v>
      </c>
      <c r="L5" s="78" t="n">
        <v>1</v>
      </c>
      <c r="M5" s="76" t="inlineStr">
        <is>
          <t>High</t>
        </is>
      </c>
      <c r="N5" s="85" t="inlineStr">
        <is>
          <t>Completed</t>
        </is>
      </c>
      <c r="O5" s="86">
        <f>ROUND(((I5/H5)*40+(L5)*60)/100*100,0)</f>
        <v/>
      </c>
      <c r="P5" s="74" t="n"/>
    </row>
    <row r="6" ht="18.75" customHeight="1" s="63">
      <c r="A6" s="80" t="n">
        <v>4</v>
      </c>
      <c r="B6" s="79" t="inlineStr">
        <is>
          <t>Social Media Management</t>
        </is>
      </c>
      <c r="C6" s="80" t="inlineStr">
        <is>
          <t>FitLife Brand</t>
        </is>
      </c>
      <c r="D6" s="80" t="inlineStr">
        <is>
          <t>Social Media</t>
        </is>
      </c>
      <c r="E6" s="80" t="inlineStr">
        <is>
          <t>Sarah K.</t>
        </is>
      </c>
      <c r="F6" s="87" t="inlineStr">
        <is>
          <t>2026-01-01</t>
        </is>
      </c>
      <c r="G6" s="87" t="inlineStr">
        <is>
          <t>2026-12-31</t>
        </is>
      </c>
      <c r="H6" s="81" t="n">
        <v>24000</v>
      </c>
      <c r="I6" s="81" t="n">
        <v>18600</v>
      </c>
      <c r="J6" s="80" t="n">
        <v>360</v>
      </c>
      <c r="K6" s="80" t="n">
        <v>285</v>
      </c>
      <c r="L6" s="82" t="n">
        <v>0.77</v>
      </c>
      <c r="M6" s="80" t="inlineStr">
        <is>
          <t>High</t>
        </is>
      </c>
      <c r="N6" s="89" t="inlineStr">
        <is>
          <t>In Progress</t>
        </is>
      </c>
      <c r="O6" s="88">
        <f>ROUND(((I6/H6)*40+(L6)*60)/100*100,0)</f>
        <v/>
      </c>
      <c r="P6" s="74" t="n"/>
    </row>
    <row r="7" ht="18.75" customHeight="1" s="63">
      <c r="A7" s="76" t="n">
        <v>5</v>
      </c>
      <c r="B7" s="75" t="inlineStr">
        <is>
          <t>Mobile App UI/UX</t>
        </is>
      </c>
      <c r="C7" s="76" t="inlineStr">
        <is>
          <t>TechFlow Inc.</t>
        </is>
      </c>
      <c r="D7" s="76" t="inlineStr">
        <is>
          <t>Design</t>
        </is>
      </c>
      <c r="E7" s="76" t="inlineStr">
        <is>
          <t>James T.</t>
        </is>
      </c>
      <c r="F7" s="84" t="inlineStr">
        <is>
          <t>2026-03-01</t>
        </is>
      </c>
      <c r="G7" s="84" t="inlineStr">
        <is>
          <t>2026-07-31</t>
        </is>
      </c>
      <c r="H7" s="77" t="n">
        <v>32000</v>
      </c>
      <c r="I7" s="77" t="n">
        <v>28900</v>
      </c>
      <c r="J7" s="76" t="n">
        <v>400</v>
      </c>
      <c r="K7" s="76" t="n">
        <v>362</v>
      </c>
      <c r="L7" s="78" t="n">
        <v>0.9</v>
      </c>
      <c r="M7" s="76" t="inlineStr">
        <is>
          <t>Critical</t>
        </is>
      </c>
      <c r="N7" s="89" t="inlineStr">
        <is>
          <t>In Progress</t>
        </is>
      </c>
      <c r="O7" s="86">
        <f>ROUND(((I7/H7)*40+(L7)*60)/100*100,0)</f>
        <v/>
      </c>
      <c r="P7" s="74" t="n"/>
    </row>
    <row r="8" ht="18.75" customHeight="1" s="63">
      <c r="A8" s="80" t="n">
        <v>6</v>
      </c>
      <c r="B8" s="79" t="inlineStr">
        <is>
          <t>Email Marketing Automation</t>
        </is>
      </c>
      <c r="C8" s="80" t="inlineStr">
        <is>
          <t>ShopEasy</t>
        </is>
      </c>
      <c r="D8" s="80" t="inlineStr">
        <is>
          <t>Email Mktg</t>
        </is>
      </c>
      <c r="E8" s="80" t="inlineStr">
        <is>
          <t>Alex M.</t>
        </is>
      </c>
      <c r="F8" s="87" t="inlineStr">
        <is>
          <t>2026-04-01</t>
        </is>
      </c>
      <c r="G8" s="87" t="inlineStr">
        <is>
          <t>2026-06-15</t>
        </is>
      </c>
      <c r="H8" s="81" t="n">
        <v>8500</v>
      </c>
      <c r="I8" s="81" t="n">
        <v>8200</v>
      </c>
      <c r="J8" s="80" t="n">
        <v>100</v>
      </c>
      <c r="K8" s="80" t="n">
        <v>98</v>
      </c>
      <c r="L8" s="82" t="n">
        <v>1</v>
      </c>
      <c r="M8" s="80" t="inlineStr">
        <is>
          <t>Medium</t>
        </is>
      </c>
      <c r="N8" s="85" t="inlineStr">
        <is>
          <t>Completed</t>
        </is>
      </c>
      <c r="O8" s="88">
        <f>ROUND(((I8/H8)*40+(L8)*60)/100*100,0)</f>
        <v/>
      </c>
      <c r="P8" s="74" t="n"/>
    </row>
    <row r="9" ht="18.75" customHeight="1" s="63">
      <c r="A9" s="76" t="n">
        <v>7</v>
      </c>
      <c r="B9" s="75" t="inlineStr">
        <is>
          <t>Google Ads Campaign</t>
        </is>
      </c>
      <c r="C9" s="76" t="inlineStr">
        <is>
          <t>LuxHomes</t>
        </is>
      </c>
      <c r="D9" s="76" t="inlineStr">
        <is>
          <t>Paid Ads</t>
        </is>
      </c>
      <c r="E9" s="76" t="inlineStr">
        <is>
          <t>Sarah K.</t>
        </is>
      </c>
      <c r="F9" s="84" t="inlineStr">
        <is>
          <t>2026-05-01</t>
        </is>
      </c>
      <c r="G9" s="84" t="inlineStr">
        <is>
          <t>2026-08-31</t>
        </is>
      </c>
      <c r="H9" s="77" t="n">
        <v>15000</v>
      </c>
      <c r="I9" s="77" t="n">
        <v>11200</v>
      </c>
      <c r="J9" s="76" t="n">
        <v>160</v>
      </c>
      <c r="K9" s="76" t="n">
        <v>120</v>
      </c>
      <c r="L9" s="78" t="n">
        <v>0.75</v>
      </c>
      <c r="M9" s="76" t="inlineStr">
        <is>
          <t>High</t>
        </is>
      </c>
      <c r="N9" s="89" t="inlineStr">
        <is>
          <t>In Progress</t>
        </is>
      </c>
      <c r="O9" s="86">
        <f>ROUND(((I9/H9)*40+(L9)*60)/100*100,0)</f>
        <v/>
      </c>
      <c r="P9" s="74" t="n"/>
    </row>
    <row r="10" ht="18.75" customHeight="1" s="63">
      <c r="A10" s="80" t="n">
        <v>8</v>
      </c>
      <c r="B10" s="79" t="inlineStr">
        <is>
          <t>Content Strategy &amp; Blog</t>
        </is>
      </c>
      <c r="C10" s="80" t="inlineStr">
        <is>
          <t>MedTech Solutions</t>
        </is>
      </c>
      <c r="D10" s="80" t="inlineStr">
        <is>
          <t>Content</t>
        </is>
      </c>
      <c r="E10" s="80" t="inlineStr">
        <is>
          <t>James T.</t>
        </is>
      </c>
      <c r="F10" s="87" t="inlineStr">
        <is>
          <t>2026-06-01</t>
        </is>
      </c>
      <c r="G10" s="87" t="inlineStr">
        <is>
          <t>2026-09-30</t>
        </is>
      </c>
      <c r="H10" s="81" t="n">
        <v>9500</v>
      </c>
      <c r="I10" s="81" t="n">
        <v>6800</v>
      </c>
      <c r="J10" s="80" t="n">
        <v>180</v>
      </c>
      <c r="K10" s="80" t="n">
        <v>128</v>
      </c>
      <c r="L10" s="82" t="n">
        <v>0.67</v>
      </c>
      <c r="M10" s="80" t="inlineStr">
        <is>
          <t>Medium</t>
        </is>
      </c>
      <c r="N10" s="89" t="inlineStr">
        <is>
          <t>In Progress</t>
        </is>
      </c>
      <c r="O10" s="88">
        <f>ROUND(((I10/H10)*40+(L10)*60)/100*100,0)</f>
        <v/>
      </c>
      <c r="P10" s="74" t="n"/>
    </row>
    <row r="11" ht="18.75" customHeight="1" s="63">
      <c r="A11" s="76" t="n">
        <v>9</v>
      </c>
      <c r="B11" s="75" t="inlineStr">
        <is>
          <t>WordPress Website Rebuild</t>
        </is>
      </c>
      <c r="C11" s="76" t="inlineStr">
        <is>
          <t>LocalBiz Hub</t>
        </is>
      </c>
      <c r="D11" s="76" t="inlineStr">
        <is>
          <t>Web Dev</t>
        </is>
      </c>
      <c r="E11" s="76" t="inlineStr">
        <is>
          <t>Alex M.</t>
        </is>
      </c>
      <c r="F11" s="84" t="inlineStr">
        <is>
          <t>2026-07-01</t>
        </is>
      </c>
      <c r="G11" s="84" t="inlineStr">
        <is>
          <t>2026-09-15</t>
        </is>
      </c>
      <c r="H11" s="77" t="n">
        <v>6500</v>
      </c>
      <c r="I11" s="77" t="n">
        <v>6100</v>
      </c>
      <c r="J11" s="76" t="n">
        <v>80</v>
      </c>
      <c r="K11" s="76" t="n">
        <v>74</v>
      </c>
      <c r="L11" s="78" t="n">
        <v>0.95</v>
      </c>
      <c r="M11" s="76" t="inlineStr">
        <is>
          <t>Low</t>
        </is>
      </c>
      <c r="N11" s="89" t="inlineStr">
        <is>
          <t>In Progress</t>
        </is>
      </c>
      <c r="O11" s="86">
        <f>ROUND(((I11/H11)*40+(L11)*60)/100*100,0)</f>
        <v/>
      </c>
      <c r="P11" s="74" t="n"/>
    </row>
    <row r="12" ht="18.75" customHeight="1" s="63">
      <c r="A12" s="80" t="n">
        <v>10</v>
      </c>
      <c r="B12" s="79" t="inlineStr">
        <is>
          <t>CRM Implementation</t>
        </is>
      </c>
      <c r="C12" s="80" t="inlineStr">
        <is>
          <t>SalesForce BD</t>
        </is>
      </c>
      <c r="D12" s="80" t="inlineStr">
        <is>
          <t>CRM</t>
        </is>
      </c>
      <c r="E12" s="80" t="inlineStr">
        <is>
          <t>Sarah K.</t>
        </is>
      </c>
      <c r="F12" s="87" t="inlineStr">
        <is>
          <t>2026-08-01</t>
        </is>
      </c>
      <c r="G12" s="87" t="inlineStr">
        <is>
          <t>2026-10-31</t>
        </is>
      </c>
      <c r="H12" s="81" t="n">
        <v>22000</v>
      </c>
      <c r="I12" s="81" t="n">
        <v>14500</v>
      </c>
      <c r="J12" s="80" t="n">
        <v>280</v>
      </c>
      <c r="K12" s="80" t="n">
        <v>186</v>
      </c>
      <c r="L12" s="82" t="n">
        <v>0.66</v>
      </c>
      <c r="M12" s="80" t="inlineStr">
        <is>
          <t>Critical</t>
        </is>
      </c>
      <c r="N12" s="89" t="inlineStr">
        <is>
          <t>In Progress</t>
        </is>
      </c>
      <c r="O12" s="88">
        <f>ROUND(((I12/H12)*40+(L12)*60)/100*100,0)</f>
        <v/>
      </c>
      <c r="P12" s="74" t="n"/>
    </row>
    <row r="13" ht="18.75" customHeight="1" s="63">
      <c r="A13" s="76" t="n">
        <v>11</v>
      </c>
      <c r="B13" s="75" t="inlineStr">
        <is>
          <t>Annual Report Design</t>
        </is>
      </c>
      <c r="C13" s="76" t="inlineStr">
        <is>
          <t>FinCorp Ltd.</t>
        </is>
      </c>
      <c r="D13" s="76" t="inlineStr">
        <is>
          <t>Design</t>
        </is>
      </c>
      <c r="E13" s="76" t="inlineStr">
        <is>
          <t>James T.</t>
        </is>
      </c>
      <c r="F13" s="84" t="inlineStr">
        <is>
          <t>2026-09-01</t>
        </is>
      </c>
      <c r="G13" s="84" t="inlineStr">
        <is>
          <t>2026-10-15</t>
        </is>
      </c>
      <c r="H13" s="77" t="n">
        <v>7500</v>
      </c>
      <c r="I13" s="77" t="n">
        <v>5200</v>
      </c>
      <c r="J13" s="76" t="n">
        <v>90</v>
      </c>
      <c r="K13" s="76" t="n">
        <v>62</v>
      </c>
      <c r="L13" s="78" t="n">
        <v>0.6899999999999999</v>
      </c>
      <c r="M13" s="76" t="inlineStr">
        <is>
          <t>Medium</t>
        </is>
      </c>
      <c r="N13" s="89" t="inlineStr">
        <is>
          <t>In Progress</t>
        </is>
      </c>
      <c r="O13" s="86">
        <f>ROUND(((I13/H13)*40+(L13)*60)/100*100,0)</f>
        <v/>
      </c>
      <c r="P13" s="74" t="n"/>
    </row>
    <row r="14" ht="18.75" customHeight="1" s="63">
      <c r="A14" s="80" t="n">
        <v>12</v>
      </c>
      <c r="B14" s="79" t="inlineStr">
        <is>
          <t>YouTube SEO &amp; Strategy</t>
        </is>
      </c>
      <c r="C14" s="80" t="inlineStr">
        <is>
          <t>Creator Hub</t>
        </is>
      </c>
      <c r="D14" s="80" t="inlineStr">
        <is>
          <t>SEO</t>
        </is>
      </c>
      <c r="E14" s="80" t="inlineStr">
        <is>
          <t>Alex M.</t>
        </is>
      </c>
      <c r="F14" s="87" t="inlineStr">
        <is>
          <t>2026-10-01</t>
        </is>
      </c>
      <c r="G14" s="87" t="inlineStr">
        <is>
          <t>2026-12-15</t>
        </is>
      </c>
      <c r="H14" s="81" t="n">
        <v>5500</v>
      </c>
      <c r="I14" s="81" t="n">
        <v>1800</v>
      </c>
      <c r="J14" s="80" t="n">
        <v>60</v>
      </c>
      <c r="K14" s="80" t="n">
        <v>20</v>
      </c>
      <c r="L14" s="82" t="n">
        <v>0.33</v>
      </c>
      <c r="M14" s="80" t="inlineStr">
        <is>
          <t>Low</t>
        </is>
      </c>
      <c r="N14" s="89" t="inlineStr">
        <is>
          <t>In Progress</t>
        </is>
      </c>
      <c r="O14" s="88">
        <f>ROUND(((I14/H14)*40+(L14)*60)/100*100,0)</f>
        <v/>
      </c>
      <c r="P14" s="74" t="n"/>
    </row>
    <row r="15" ht="18.75" customHeight="1" s="63">
      <c r="A15" s="76" t="n">
        <v>13</v>
      </c>
      <c r="B15" s="75" t="inlineStr">
        <is>
          <t>LinkedIn Lead Gen Campaign</t>
        </is>
      </c>
      <c r="C15" s="76" t="inlineStr">
        <is>
          <t>B2B Ventures</t>
        </is>
      </c>
      <c r="D15" s="76" t="inlineStr">
        <is>
          <t>Paid Ads</t>
        </is>
      </c>
      <c r="E15" s="76" t="inlineStr">
        <is>
          <t>Sarah K.</t>
        </is>
      </c>
      <c r="F15" s="84" t="inlineStr">
        <is>
          <t>2026-10-15</t>
        </is>
      </c>
      <c r="G15" s="84" t="inlineStr">
        <is>
          <t>2026-12-31</t>
        </is>
      </c>
      <c r="H15" s="77" t="n">
        <v>11000</v>
      </c>
      <c r="I15" s="77" t="n">
        <v>3200</v>
      </c>
      <c r="J15" s="76" t="n">
        <v>120</v>
      </c>
      <c r="K15" s="76" t="n">
        <v>35</v>
      </c>
      <c r="L15" s="78" t="n">
        <v>0.29</v>
      </c>
      <c r="M15" s="76" t="inlineStr">
        <is>
          <t>High</t>
        </is>
      </c>
      <c r="N15" s="89" t="inlineStr">
        <is>
          <t>In Progress</t>
        </is>
      </c>
      <c r="O15" s="86">
        <f>ROUND(((I15/H15)*40+(L15)*60)/100*100,0)</f>
        <v/>
      </c>
      <c r="P15" s="74" t="n"/>
    </row>
    <row r="16" ht="18.75" customHeight="1" s="63">
      <c r="A16" s="80" t="n">
        <v>14</v>
      </c>
      <c r="B16" s="79" t="inlineStr">
        <is>
          <t>Data Analytics Dashboard</t>
        </is>
      </c>
      <c r="C16" s="80" t="inlineStr">
        <is>
          <t>InsightPro</t>
        </is>
      </c>
      <c r="D16" s="80" t="inlineStr">
        <is>
          <t>Analytics</t>
        </is>
      </c>
      <c r="E16" s="80" t="inlineStr">
        <is>
          <t>James T.</t>
        </is>
      </c>
      <c r="F16" s="87" t="inlineStr">
        <is>
          <t>2026-11-01</t>
        </is>
      </c>
      <c r="G16" s="87" t="inlineStr">
        <is>
          <t>2026-02-28</t>
        </is>
      </c>
      <c r="H16" s="81" t="n">
        <v>28000</v>
      </c>
      <c r="I16" s="81" t="n">
        <v>7000</v>
      </c>
      <c r="J16" s="80" t="n">
        <v>320</v>
      </c>
      <c r="K16" s="80" t="n">
        <v>80</v>
      </c>
      <c r="L16" s="82" t="n">
        <v>0.25</v>
      </c>
      <c r="M16" s="80" t="inlineStr">
        <is>
          <t>Critical</t>
        </is>
      </c>
      <c r="N16" s="89" t="inlineStr">
        <is>
          <t>In Progress</t>
        </is>
      </c>
      <c r="O16" s="88">
        <f>ROUND(((I16/H16)*40+(L16)*60)/100*100,0)</f>
        <v/>
      </c>
      <c r="P16" s="74" t="n"/>
    </row>
    <row r="17" ht="18.75" customHeight="1" s="63">
      <c r="A17" s="76" t="n">
        <v>15</v>
      </c>
      <c r="B17" s="75" t="inlineStr">
        <is>
          <t>Brand Guidelines Document</t>
        </is>
      </c>
      <c r="C17" s="76" t="inlineStr">
        <is>
          <t>StartupX</t>
        </is>
      </c>
      <c r="D17" s="76" t="inlineStr">
        <is>
          <t>Branding</t>
        </is>
      </c>
      <c r="E17" s="76" t="inlineStr">
        <is>
          <t>Alex M.</t>
        </is>
      </c>
      <c r="F17" s="84" t="inlineStr">
        <is>
          <t>2026-11-15</t>
        </is>
      </c>
      <c r="G17" s="84" t="inlineStr">
        <is>
          <t>2026-12-31</t>
        </is>
      </c>
      <c r="H17" s="77" t="n">
        <v>4000</v>
      </c>
      <c r="I17" s="77" t="n">
        <v>1200</v>
      </c>
      <c r="J17" s="76" t="n">
        <v>40</v>
      </c>
      <c r="K17" s="76" t="n">
        <v>12</v>
      </c>
      <c r="L17" s="78" t="n">
        <v>0.3</v>
      </c>
      <c r="M17" s="76" t="inlineStr">
        <is>
          <t>Low</t>
        </is>
      </c>
      <c r="N17" s="90" t="inlineStr">
        <is>
          <t>Planning</t>
        </is>
      </c>
      <c r="O17" s="86">
        <f>ROUND(((I17/H17)*40+(L17)*60)/100*100,0)</f>
        <v/>
      </c>
      <c r="P17" s="74" t="n"/>
    </row>
  </sheetData>
  <mergeCells count="1">
    <mergeCell ref="A1:P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00C9A7"/>
    <outlinePr summaryBelow="1" summaryRight="1"/>
    <pageSetUpPr fitToPage="0"/>
  </sheetPr>
  <dimension ref="A1:I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62" min="1" max="1"/>
    <col width="22" customWidth="1" style="62" min="2" max="2"/>
    <col width="20" customWidth="1" style="62" min="3" max="3"/>
    <col width="14" customWidth="1" style="62" min="4" max="5"/>
    <col width="12" customWidth="1" style="62" min="6" max="6"/>
    <col width="14" customWidth="1" style="62" min="7" max="7"/>
    <col width="12" customWidth="1" style="62" min="8" max="8"/>
    <col width="5" customWidth="1" style="62" min="9" max="9"/>
  </cols>
  <sheetData>
    <row r="1" ht="25.5" customHeight="1" s="63">
      <c r="A1" s="91" t="inlineStr">
        <is>
          <t>MILESTONES &amp; TASK TRACKER  |  Live status from Project Data</t>
        </is>
      </c>
    </row>
    <row r="2" ht="19.5" customHeight="1" s="63">
      <c r="A2" s="73" t="inlineStr">
        <is>
          <t>#</t>
        </is>
      </c>
      <c r="B2" s="73" t="inlineStr">
        <is>
          <t>Milestone / Task</t>
        </is>
      </c>
      <c r="C2" s="73" t="inlineStr">
        <is>
          <t>Project</t>
        </is>
      </c>
      <c r="D2" s="73" t="inlineStr">
        <is>
          <t>Assigned To</t>
        </is>
      </c>
      <c r="E2" s="73" t="inlineStr">
        <is>
          <t>Due Date</t>
        </is>
      </c>
      <c r="F2" s="73" t="inlineStr">
        <is>
          <t>Days Remaining</t>
        </is>
      </c>
      <c r="G2" s="73" t="inlineStr">
        <is>
          <t>Priority</t>
        </is>
      </c>
      <c r="H2" s="73" t="inlineStr">
        <is>
          <t>Status</t>
        </is>
      </c>
      <c r="I2" s="73" t="n"/>
    </row>
    <row r="3" ht="18.75" customHeight="1" s="63">
      <c r="A3" s="92" t="n">
        <v>1</v>
      </c>
      <c r="B3" s="75" t="inlineStr">
        <is>
          <t>Wireframes Approved</t>
        </is>
      </c>
      <c r="C3" s="76" t="inlineStr">
        <is>
          <t>Mobile App UI/UX</t>
        </is>
      </c>
      <c r="D3" s="76" t="inlineStr">
        <is>
          <t>James T.</t>
        </is>
      </c>
      <c r="E3" s="76" t="inlineStr">
        <is>
          <t>2026-05-15</t>
        </is>
      </c>
      <c r="F3" s="76" t="inlineStr">
        <is>
          <t>Done</t>
        </is>
      </c>
      <c r="G3" s="93" t="inlineStr">
        <is>
          <t>Critical</t>
        </is>
      </c>
      <c r="H3" s="85" t="inlineStr">
        <is>
          <t>Completed</t>
        </is>
      </c>
      <c r="I3" s="74" t="n"/>
    </row>
    <row r="4" ht="18.75" customHeight="1" s="63">
      <c r="A4" s="92" t="n">
        <v>2</v>
      </c>
      <c r="B4" s="79" t="inlineStr">
        <is>
          <t>Design System Finalized</t>
        </is>
      </c>
      <c r="C4" s="80" t="inlineStr">
        <is>
          <t>Mobile App UI/UX</t>
        </is>
      </c>
      <c r="D4" s="80" t="inlineStr">
        <is>
          <t>James T.</t>
        </is>
      </c>
      <c r="E4" s="80" t="inlineStr">
        <is>
          <t>2026-06-01</t>
        </is>
      </c>
      <c r="F4" s="80" t="inlineStr">
        <is>
          <t>Done</t>
        </is>
      </c>
      <c r="G4" s="90" t="inlineStr">
        <is>
          <t>High</t>
        </is>
      </c>
      <c r="H4" s="85" t="inlineStr">
        <is>
          <t>Completed</t>
        </is>
      </c>
      <c r="I4" s="74" t="n"/>
    </row>
    <row r="5" ht="18.75" customHeight="1" s="63">
      <c r="A5" s="92" t="n">
        <v>3</v>
      </c>
      <c r="B5" s="75" t="inlineStr">
        <is>
          <t>Prototype Delivery</t>
        </is>
      </c>
      <c r="C5" s="76" t="inlineStr">
        <is>
          <t>Mobile App UI/UX</t>
        </is>
      </c>
      <c r="D5" s="76" t="inlineStr">
        <is>
          <t>James T.</t>
        </is>
      </c>
      <c r="E5" s="76" t="inlineStr">
        <is>
          <t>2026-06-30</t>
        </is>
      </c>
      <c r="F5" s="76" t="inlineStr">
        <is>
          <t>Done</t>
        </is>
      </c>
      <c r="G5" s="93" t="inlineStr">
        <is>
          <t>Critical</t>
        </is>
      </c>
      <c r="H5" s="85" t="inlineStr">
        <is>
          <t>Completed</t>
        </is>
      </c>
      <c r="I5" s="74" t="n"/>
    </row>
    <row r="6" ht="18.75" customHeight="1" s="63">
      <c r="A6" s="92" t="n">
        <v>4</v>
      </c>
      <c r="B6" s="79" t="inlineStr">
        <is>
          <t>Final UI Handoff</t>
        </is>
      </c>
      <c r="C6" s="80" t="inlineStr">
        <is>
          <t>Mobile App UI/UX</t>
        </is>
      </c>
      <c r="D6" s="80" t="inlineStr">
        <is>
          <t>James T.</t>
        </is>
      </c>
      <c r="E6" s="80" t="inlineStr">
        <is>
          <t>2026-07-25</t>
        </is>
      </c>
      <c r="F6" s="80" t="inlineStr">
        <is>
          <t>Done</t>
        </is>
      </c>
      <c r="G6" s="93" t="inlineStr">
        <is>
          <t>Critical</t>
        </is>
      </c>
      <c r="H6" s="85" t="inlineStr">
        <is>
          <t>Completed</t>
        </is>
      </c>
      <c r="I6" s="74" t="n"/>
    </row>
    <row r="7" ht="18.75" customHeight="1" s="63">
      <c r="A7" s="92" t="n">
        <v>5</v>
      </c>
      <c r="B7" s="75" t="inlineStr">
        <is>
          <t>CRM Data Migration</t>
        </is>
      </c>
      <c r="C7" s="76" t="inlineStr">
        <is>
          <t>CRM Implementation</t>
        </is>
      </c>
      <c r="D7" s="76" t="inlineStr">
        <is>
          <t>Sarah K.</t>
        </is>
      </c>
      <c r="E7" s="76" t="inlineStr">
        <is>
          <t>2026-09-01</t>
        </is>
      </c>
      <c r="F7" s="76" t="inlineStr">
        <is>
          <t>Done</t>
        </is>
      </c>
      <c r="G7" s="90" t="inlineStr">
        <is>
          <t>High</t>
        </is>
      </c>
      <c r="H7" s="85" t="inlineStr">
        <is>
          <t>Completed</t>
        </is>
      </c>
      <c r="I7" s="74" t="n"/>
    </row>
    <row r="8" ht="18.75" customHeight="1" s="63">
      <c r="A8" s="92" t="n">
        <v>6</v>
      </c>
      <c r="B8" s="79" t="inlineStr">
        <is>
          <t>CRM User Training</t>
        </is>
      </c>
      <c r="C8" s="80" t="inlineStr">
        <is>
          <t>CRM Implementation</t>
        </is>
      </c>
      <c r="D8" s="80" t="inlineStr">
        <is>
          <t>Sarah K.</t>
        </is>
      </c>
      <c r="E8" s="80" t="inlineStr">
        <is>
          <t>2026-10-01</t>
        </is>
      </c>
      <c r="F8" s="80" t="inlineStr">
        <is>
          <t>Done</t>
        </is>
      </c>
      <c r="G8" s="93" t="inlineStr">
        <is>
          <t>Critical</t>
        </is>
      </c>
      <c r="H8" s="85" t="inlineStr">
        <is>
          <t>Completed</t>
        </is>
      </c>
      <c r="I8" s="74" t="n"/>
    </row>
    <row r="9" ht="18.75" customHeight="1" s="63">
      <c r="A9" s="92" t="n">
        <v>7</v>
      </c>
      <c r="B9" s="75" t="inlineStr">
        <is>
          <t>CRM Go-Live</t>
        </is>
      </c>
      <c r="C9" s="76" t="inlineStr">
        <is>
          <t>CRM Implementation</t>
        </is>
      </c>
      <c r="D9" s="76" t="inlineStr">
        <is>
          <t>Sarah K.</t>
        </is>
      </c>
      <c r="E9" s="76" t="inlineStr">
        <is>
          <t>2026-10-31</t>
        </is>
      </c>
      <c r="F9" s="76" t="inlineStr">
        <is>
          <t>2026-10-31</t>
        </is>
      </c>
      <c r="G9" s="93" t="inlineStr">
        <is>
          <t>Critical</t>
        </is>
      </c>
      <c r="H9" s="89" t="inlineStr">
        <is>
          <t>In Progress</t>
        </is>
      </c>
      <c r="I9" s="74" t="n"/>
    </row>
    <row r="10" ht="18.75" customHeight="1" s="63">
      <c r="A10" s="92" t="n">
        <v>8</v>
      </c>
      <c r="B10" s="79" t="inlineStr">
        <is>
          <t>Q4 Content Calendar</t>
        </is>
      </c>
      <c r="C10" s="80" t="inlineStr">
        <is>
          <t>Content Strategy &amp; Blog</t>
        </is>
      </c>
      <c r="D10" s="80" t="inlineStr">
        <is>
          <t>James T.</t>
        </is>
      </c>
      <c r="E10" s="80" t="inlineStr">
        <is>
          <t>2026-09-15</t>
        </is>
      </c>
      <c r="F10" s="80" t="inlineStr">
        <is>
          <t>Done</t>
        </is>
      </c>
      <c r="G10" s="89" t="inlineStr">
        <is>
          <t>Medium</t>
        </is>
      </c>
      <c r="H10" s="85" t="inlineStr">
        <is>
          <t>Completed</t>
        </is>
      </c>
      <c r="I10" s="74" t="n"/>
    </row>
    <row r="11" ht="18.75" customHeight="1" s="63">
      <c r="A11" s="92" t="n">
        <v>9</v>
      </c>
      <c r="B11" s="75" t="inlineStr">
        <is>
          <t>20 Blog Posts Published</t>
        </is>
      </c>
      <c r="C11" s="76" t="inlineStr">
        <is>
          <t>Content Strategy &amp; Blog</t>
        </is>
      </c>
      <c r="D11" s="76" t="inlineStr">
        <is>
          <t>James T.</t>
        </is>
      </c>
      <c r="E11" s="76" t="inlineStr">
        <is>
          <t>2026-09-30</t>
        </is>
      </c>
      <c r="F11" s="76" t="inlineStr">
        <is>
          <t>Done</t>
        </is>
      </c>
      <c r="G11" s="90" t="inlineStr">
        <is>
          <t>High</t>
        </is>
      </c>
      <c r="H11" s="85" t="inlineStr">
        <is>
          <t>Completed</t>
        </is>
      </c>
      <c r="I11" s="74" t="n"/>
    </row>
    <row r="12" ht="18.75" customHeight="1" s="63">
      <c r="A12" s="92" t="n">
        <v>10</v>
      </c>
      <c r="B12" s="79" t="inlineStr">
        <is>
          <t>SEO Reporting Dashboard</t>
        </is>
      </c>
      <c r="C12" s="80" t="inlineStr">
        <is>
          <t>YouTube SEO &amp; Strategy</t>
        </is>
      </c>
      <c r="D12" s="80" t="inlineStr">
        <is>
          <t>Alex M.</t>
        </is>
      </c>
      <c r="E12" s="80" t="inlineStr">
        <is>
          <t>2026-11-01</t>
        </is>
      </c>
      <c r="F12" s="80" t="inlineStr">
        <is>
          <t>2026-11-01</t>
        </is>
      </c>
      <c r="G12" s="94" t="inlineStr">
        <is>
          <t>Low</t>
        </is>
      </c>
      <c r="H12" s="89" t="inlineStr">
        <is>
          <t>In Progress</t>
        </is>
      </c>
      <c r="I12" s="74" t="n"/>
    </row>
    <row r="13" ht="18.75" customHeight="1" s="63">
      <c r="A13" s="92" t="n">
        <v>11</v>
      </c>
      <c r="B13" s="75" t="inlineStr">
        <is>
          <t>LinkedIn Ads Live</t>
        </is>
      </c>
      <c r="C13" s="76" t="inlineStr">
        <is>
          <t>LinkedIn Lead Gen</t>
        </is>
      </c>
      <c r="D13" s="76" t="inlineStr">
        <is>
          <t>Sarah K.</t>
        </is>
      </c>
      <c r="E13" s="76" t="inlineStr">
        <is>
          <t>2026-10-20</t>
        </is>
      </c>
      <c r="F13" s="76" t="inlineStr">
        <is>
          <t>Done</t>
        </is>
      </c>
      <c r="G13" s="90" t="inlineStr">
        <is>
          <t>High</t>
        </is>
      </c>
      <c r="H13" s="85" t="inlineStr">
        <is>
          <t>Completed</t>
        </is>
      </c>
      <c r="I13" s="74" t="n"/>
    </row>
    <row r="14" ht="18.75" customHeight="1" s="63">
      <c r="A14" s="92" t="n">
        <v>12</v>
      </c>
      <c r="B14" s="79" t="inlineStr">
        <is>
          <t>First 50 Leads Delivered</t>
        </is>
      </c>
      <c r="C14" s="80" t="inlineStr">
        <is>
          <t>LinkedIn Lead Gen</t>
        </is>
      </c>
      <c r="D14" s="80" t="inlineStr">
        <is>
          <t>Sarah K.</t>
        </is>
      </c>
      <c r="E14" s="80" t="inlineStr">
        <is>
          <t>2026-11-30</t>
        </is>
      </c>
      <c r="F14" s="80" t="inlineStr">
        <is>
          <t>2026-11-30</t>
        </is>
      </c>
      <c r="G14" s="93" t="inlineStr">
        <is>
          <t>Critical</t>
        </is>
      </c>
      <c r="H14" s="89" t="inlineStr">
        <is>
          <t>In Progress</t>
        </is>
      </c>
      <c r="I14" s="74" t="n"/>
    </row>
    <row r="15" ht="18.75" customHeight="1" s="63">
      <c r="A15" s="92" t="n">
        <v>13</v>
      </c>
      <c r="B15" s="75" t="inlineStr">
        <is>
          <t>Analytics Dashboard MVP</t>
        </is>
      </c>
      <c r="C15" s="76" t="inlineStr">
        <is>
          <t>Data Analytics Dashboard</t>
        </is>
      </c>
      <c r="D15" s="76" t="inlineStr">
        <is>
          <t>James T.</t>
        </is>
      </c>
      <c r="E15" s="76" t="inlineStr">
        <is>
          <t>2026-12-15</t>
        </is>
      </c>
      <c r="F15" s="76" t="inlineStr">
        <is>
          <t>2026-12-15</t>
        </is>
      </c>
      <c r="G15" s="93" t="inlineStr">
        <is>
          <t>Critical</t>
        </is>
      </c>
      <c r="H15" s="89" t="inlineStr">
        <is>
          <t>In Progress</t>
        </is>
      </c>
      <c r="I15" s="74" t="n"/>
    </row>
    <row r="16" ht="18.75" customHeight="1" s="63">
      <c r="A16" s="92" t="n">
        <v>14</v>
      </c>
      <c r="B16" s="79" t="inlineStr">
        <is>
          <t>Brand Guidelines v1</t>
        </is>
      </c>
      <c r="C16" s="80" t="inlineStr">
        <is>
          <t>Brand Guidelines Doc</t>
        </is>
      </c>
      <c r="D16" s="80" t="inlineStr">
        <is>
          <t>Alex M.</t>
        </is>
      </c>
      <c r="E16" s="80" t="inlineStr">
        <is>
          <t>2026-12-15</t>
        </is>
      </c>
      <c r="F16" s="80" t="inlineStr">
        <is>
          <t>2026-12-15</t>
        </is>
      </c>
      <c r="G16" s="94" t="inlineStr">
        <is>
          <t>Low</t>
        </is>
      </c>
      <c r="H16" s="89" t="inlineStr">
        <is>
          <t>In Progress</t>
        </is>
      </c>
      <c r="I16" s="74" t="n"/>
    </row>
    <row r="17" ht="18.75" customHeight="1" s="63">
      <c r="A17" s="92" t="n">
        <v>15</v>
      </c>
      <c r="B17" s="75" t="inlineStr">
        <is>
          <t>WordPress Launch</t>
        </is>
      </c>
      <c r="C17" s="76" t="inlineStr">
        <is>
          <t>WordPress Website Rebuild</t>
        </is>
      </c>
      <c r="D17" s="76" t="inlineStr">
        <is>
          <t>Alex M.</t>
        </is>
      </c>
      <c r="E17" s="76" t="inlineStr">
        <is>
          <t>2026-09-14</t>
        </is>
      </c>
      <c r="F17" s="76" t="inlineStr">
        <is>
          <t>Done</t>
        </is>
      </c>
      <c r="G17" s="94" t="inlineStr">
        <is>
          <t>Low</t>
        </is>
      </c>
      <c r="H17" s="85" t="inlineStr">
        <is>
          <t>Completed</t>
        </is>
      </c>
      <c r="I17" s="74" t="n"/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FB8500"/>
    <outlinePr summaryBelow="1" summaryRight="1"/>
    <pageSetUpPr fitToPage="0"/>
  </sheetPr>
  <dimension ref="A1:J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62" min="1" max="1"/>
    <col width="20" customWidth="1" style="62" min="2" max="2"/>
    <col width="14" customWidth="1" style="62" min="3" max="9"/>
    <col width="5" customWidth="1" style="62" min="10" max="10"/>
  </cols>
  <sheetData>
    <row r="1" ht="25.5" customHeight="1" s="63">
      <c r="A1" s="91" t="inlineStr">
        <is>
          <t>TEAM PERFORMANCE SUMMARY  |  Project Managers &amp; Delivery Metrics</t>
        </is>
      </c>
    </row>
    <row r="2" ht="7.5" customHeight="1" s="63">
      <c r="A2" s="74" t="n"/>
    </row>
    <row r="3" ht="19.5" customHeight="1" s="63">
      <c r="A3" s="73" t="n"/>
      <c r="B3" s="73" t="inlineStr">
        <is>
          <t>PM Name</t>
        </is>
      </c>
      <c r="C3" s="73" t="inlineStr">
        <is>
          <t>Projects Assigned</t>
        </is>
      </c>
      <c r="D3" s="73" t="inlineStr">
        <is>
          <t>Completed</t>
        </is>
      </c>
      <c r="E3" s="73" t="inlineStr">
        <is>
          <t>In Progress</t>
        </is>
      </c>
      <c r="F3" s="73" t="inlineStr">
        <is>
          <t>Total Budget</t>
        </is>
      </c>
      <c r="G3" s="73" t="inlineStr">
        <is>
          <t>Actual Cost</t>
        </is>
      </c>
      <c r="H3" s="73" t="inlineStr">
        <is>
          <t>Budget Util%</t>
        </is>
      </c>
      <c r="I3" s="73" t="inlineStr">
        <is>
          <t>Avg Completion%</t>
        </is>
      </c>
      <c r="J3" s="73" t="n"/>
    </row>
    <row r="4" ht="21.75" customHeight="1" s="63">
      <c r="A4" s="74" t="n"/>
      <c r="B4" s="95" t="inlineStr">
        <is>
          <t>Sarah K.</t>
        </is>
      </c>
      <c r="C4" s="96" t="n">
        <v>5</v>
      </c>
      <c r="D4" s="96" t="n">
        <v>2</v>
      </c>
      <c r="E4" s="96" t="n">
        <v>3</v>
      </c>
      <c r="F4" s="97" t="n">
        <v>70000</v>
      </c>
      <c r="G4" s="97" t="n">
        <v>53500</v>
      </c>
      <c r="H4" s="98" t="n">
        <v>0.764</v>
      </c>
      <c r="I4" s="98" t="n">
        <v>0.67</v>
      </c>
      <c r="J4" s="74" t="n"/>
    </row>
    <row r="5" ht="21.75" customHeight="1" s="63">
      <c r="A5" s="74" t="n"/>
      <c r="B5" s="99" t="inlineStr">
        <is>
          <t>James T.</t>
        </is>
      </c>
      <c r="C5" s="100" t="n">
        <v>5</v>
      </c>
      <c r="D5" s="100" t="n">
        <v>3</v>
      </c>
      <c r="E5" s="100" t="n">
        <v>2</v>
      </c>
      <c r="F5" s="101" t="n">
        <v>107500</v>
      </c>
      <c r="G5" s="101" t="n">
        <v>89100</v>
      </c>
      <c r="H5" s="102" t="n">
        <v>0.829</v>
      </c>
      <c r="I5" s="102" t="n">
        <v>0.73</v>
      </c>
      <c r="J5" s="74" t="n"/>
    </row>
    <row r="6" ht="21.75" customHeight="1" s="63">
      <c r="A6" s="74" t="n"/>
      <c r="B6" s="95" t="inlineStr">
        <is>
          <t>Alex M.</t>
        </is>
      </c>
      <c r="C6" s="96" t="n">
        <v>5</v>
      </c>
      <c r="D6" s="96" t="n">
        <v>3</v>
      </c>
      <c r="E6" s="96" t="n">
        <v>2</v>
      </c>
      <c r="F6" s="97" t="n">
        <v>36500</v>
      </c>
      <c r="G6" s="97" t="n">
        <v>23900</v>
      </c>
      <c r="H6" s="98" t="n">
        <v>0.655</v>
      </c>
      <c r="I6" s="98" t="n">
        <v>0.71</v>
      </c>
      <c r="J6" s="74" t="n"/>
    </row>
    <row r="7" ht="21.75" customHeight="1" s="63">
      <c r="A7" s="103" t="n"/>
      <c r="B7" s="104" t="inlineStr">
        <is>
          <t>TOTAL / AVG</t>
        </is>
      </c>
      <c r="C7" s="105">
        <f>SUM(C4:C6)</f>
        <v/>
      </c>
      <c r="D7" s="105">
        <f>SUM(D4:D6)</f>
        <v/>
      </c>
      <c r="E7" s="105">
        <f>SUM(E4:E6)</f>
        <v/>
      </c>
      <c r="F7" s="106">
        <f>SUM(F4:F6)</f>
        <v/>
      </c>
      <c r="G7" s="106">
        <f>SUM(G4:G6)</f>
        <v/>
      </c>
      <c r="H7" s="107">
        <f>AVERAGE(H4:H6)</f>
        <v/>
      </c>
      <c r="I7" s="107">
        <f>AVERAGE(I4:I6)</f>
        <v/>
      </c>
      <c r="J7" s="103" t="n"/>
    </row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0D1B2A"/>
    <outlinePr summaryBelow="1" summaryRight="1"/>
    <pageSetUpPr fitToPage="0"/>
  </sheetPr>
  <dimension ref="A1:F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62" min="1" max="1"/>
    <col width="28" customWidth="1" style="62" min="2" max="2"/>
    <col width="18" customWidth="1" style="62" min="3" max="5"/>
    <col width="4" customWidth="1" style="62" min="6" max="6"/>
  </cols>
  <sheetData>
    <row r="1" ht="31.5" customHeight="1" s="63">
      <c r="A1" s="108" t="inlineStr">
        <is>
          <t>EXECUTIVE PROJECT SUMMARY  |  2026</t>
        </is>
      </c>
    </row>
    <row r="2" ht="7.5" customHeight="1" s="63"/>
    <row r="3" ht="21.75" customHeight="1" s="63">
      <c r="A3" s="109" t="inlineStr">
        <is>
          <t>KEY PROJECT METRICS</t>
        </is>
      </c>
    </row>
    <row r="4" ht="19.5" customHeight="1" s="63">
      <c r="A4" s="110" t="n"/>
      <c r="B4" s="111" t="inlineStr">
        <is>
          <t>Total Projects in Portfolio</t>
        </is>
      </c>
      <c r="C4" s="112">
        <f>COUNTA('📁 Project Data'!B3:B17)</f>
        <v/>
      </c>
      <c r="D4" s="110" t="n"/>
      <c r="E4" s="110" t="n"/>
      <c r="F4" s="110" t="n"/>
    </row>
    <row r="5" ht="19.5" customHeight="1" s="63">
      <c r="A5" s="113" t="n"/>
      <c r="B5" s="114" t="inlineStr">
        <is>
          <t>Projects Completed</t>
        </is>
      </c>
      <c r="C5" s="115">
        <f>COUNTIF('📁 Project Data'!N3:N17,"Completed")</f>
        <v/>
      </c>
      <c r="D5" s="113" t="n"/>
      <c r="E5" s="113" t="n"/>
      <c r="F5" s="113" t="n"/>
    </row>
    <row r="6" ht="19.5" customHeight="1" s="63">
      <c r="A6" s="110" t="n"/>
      <c r="B6" s="111" t="inlineStr">
        <is>
          <t>Projects In Progress</t>
        </is>
      </c>
      <c r="C6" s="112">
        <f>COUNTIF('📁 Project Data'!N3:N17,"In Progress")</f>
        <v/>
      </c>
      <c r="D6" s="110" t="n"/>
      <c r="E6" s="110" t="n"/>
      <c r="F6" s="110" t="n"/>
    </row>
    <row r="7" ht="19.5" customHeight="1" s="63">
      <c r="A7" s="113" t="n"/>
      <c r="B7" s="114" t="inlineStr">
        <is>
          <t>Total Portfolio Value</t>
        </is>
      </c>
      <c r="C7" s="116">
        <f>SUM('📁 Project Data'!H3:H17)</f>
        <v/>
      </c>
      <c r="D7" s="113" t="n"/>
      <c r="E7" s="113" t="n"/>
      <c r="F7" s="113" t="n"/>
    </row>
    <row r="8" ht="19.5" customHeight="1" s="63">
      <c r="A8" s="110" t="n"/>
      <c r="B8" s="111" t="inlineStr">
        <is>
          <t>Total Actual Cost (to date)</t>
        </is>
      </c>
      <c r="C8" s="117">
        <f>SUM('📁 Project Data'!I3:I17)</f>
        <v/>
      </c>
      <c r="D8" s="110" t="n"/>
      <c r="E8" s="110" t="n"/>
      <c r="F8" s="110" t="n"/>
    </row>
    <row r="9" ht="19.5" customHeight="1" s="63">
      <c r="A9" s="113" t="n"/>
      <c r="B9" s="114" t="inlineStr">
        <is>
          <t>Overall Budget Utilization</t>
        </is>
      </c>
      <c r="C9" s="118">
        <f>IFERROR(SUM('📁 Project Data'!I3:I17)/SUM('📁 Project Data'!H3:H17),0)</f>
        <v/>
      </c>
      <c r="D9" s="113" t="n"/>
      <c r="E9" s="113" t="n"/>
      <c r="F9" s="113" t="n"/>
    </row>
    <row r="10" ht="19.5" customHeight="1" s="63">
      <c r="A10" s="110" t="n"/>
      <c r="B10" s="111" t="inlineStr">
        <is>
          <t>Average Project Completion</t>
        </is>
      </c>
      <c r="C10" s="119">
        <f>AVERAGE('📁 Project Data'!L3:L17)</f>
        <v/>
      </c>
      <c r="D10" s="110" t="n"/>
      <c r="E10" s="110" t="n"/>
      <c r="F10" s="110" t="n"/>
    </row>
    <row r="11" ht="19.5" customHeight="1" s="63">
      <c r="A11" s="113" t="n"/>
      <c r="B11" s="114" t="inlineStr">
        <is>
          <t>Total Hours Budgeted</t>
        </is>
      </c>
      <c r="C11" s="120">
        <f>SUM('📁 Project Data'!J3:J17)</f>
        <v/>
      </c>
      <c r="D11" s="113" t="n"/>
      <c r="E11" s="113" t="n"/>
      <c r="F11" s="113" t="n"/>
    </row>
    <row r="12" ht="19.5" customHeight="1" s="63">
      <c r="A12" s="110" t="n"/>
      <c r="B12" s="111" t="inlineStr">
        <is>
          <t>Total Hours Logged</t>
        </is>
      </c>
      <c r="C12" s="121">
        <f>SUM('📁 Project Data'!K3:K17)</f>
        <v/>
      </c>
      <c r="D12" s="110" t="n"/>
      <c r="E12" s="110" t="n"/>
      <c r="F12" s="110" t="n"/>
    </row>
    <row r="13" ht="19.5" customHeight="1" s="63">
      <c r="A13" s="113" t="n"/>
      <c r="B13" s="114" t="inlineStr">
        <is>
          <t>Team Hour Efficiency</t>
        </is>
      </c>
      <c r="C13" s="118">
        <f>IFERROR(SUM('📁 Project Data'!K3:K17)/SUM('📁 Project Data'!J3:J17),0)</f>
        <v/>
      </c>
      <c r="D13" s="113" t="n"/>
      <c r="E13" s="113" t="n"/>
      <c r="F13" s="113" t="n"/>
    </row>
    <row r="14" ht="19.5" customHeight="1" s="63">
      <c r="A14" s="110" t="n"/>
      <c r="B14" s="111" t="inlineStr">
        <is>
          <t>Critical Priority Projects</t>
        </is>
      </c>
      <c r="C14" s="112">
        <f>COUNTIF('📁 Project Data'!M3:M17,"Critical")</f>
        <v/>
      </c>
      <c r="D14" s="110" t="n"/>
      <c r="E14" s="110" t="n"/>
      <c r="F14" s="110" t="n"/>
    </row>
    <row r="15" ht="19.5" customHeight="1" s="63">
      <c r="A15" s="113" t="n"/>
      <c r="B15" s="114" t="inlineStr">
        <is>
          <t>Highest Budget Project</t>
        </is>
      </c>
      <c r="C15" s="122">
        <f>INDEX('📁 Project Data'!B3:B17,MATCH(MAX('📁 Project Data'!H3:H17),'📁 Project Data'!H3:H17,0))</f>
        <v/>
      </c>
      <c r="D15" s="113" t="n"/>
      <c r="E15" s="113" t="n"/>
      <c r="F15" s="113" t="n"/>
    </row>
    <row r="16" ht="7.5" customHeight="1" s="63">
      <c r="A16" s="74" t="n"/>
      <c r="B16" s="74" t="n"/>
      <c r="C16" s="74" t="n"/>
      <c r="D16" s="74" t="n"/>
      <c r="E16" s="74" t="n"/>
      <c r="F16" s="74" t="n"/>
    </row>
    <row r="17" ht="18" customHeight="1" s="63">
      <c r="A17" s="123" t="inlineStr">
        <is>
          <t>Prepared by Farhan Siddique  |  Digital Marketer &amp; Data Analyst  |  HubSpot, Google &amp; Microsoft Certified</t>
        </is>
      </c>
    </row>
    <row r="18" ht="18" customHeight="1" s="63">
      <c r="A18" s="124" t="inlineStr">
        <is>
          <t>Available on Fiverr &amp; Upwork  |  Excel Dashboards • SEO Audits • Email Marketing</t>
        </is>
      </c>
    </row>
  </sheetData>
  <mergeCells count="4">
    <mergeCell ref="A3:F3"/>
    <mergeCell ref="A1:F1"/>
    <mergeCell ref="A18:F18"/>
    <mergeCell ref="A17:F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2026-05-11T21:23:15Z</dcterms:created>
  <dcterms:modified xmlns:dcterms="http://purl.org/dc/terms/" xmlns:xsi="http://www.w3.org/2001/XMLSchema-instance" xsi:type="dcterms:W3CDTF">2026-05-12T22:50:45Z</dcterms:modified>
  <cp:revision>0</cp:revision>
</cp:coreProperties>
</file>