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Marketing Dashboard" sheetId="1" state="visible" r:id="rId1"/>
    <sheet xmlns:r="http://schemas.openxmlformats.org/officeDocument/2006/relationships" name="Campaign Data" sheetId="2" state="visible" r:id="rId2"/>
    <sheet xmlns:r="http://schemas.openxmlformats.org/officeDocument/2006/relationships" name="SEO &amp; Organic" sheetId="3" state="visible" r:id="rId3"/>
    <sheet xmlns:r="http://schemas.openxmlformats.org/officeDocument/2006/relationships" name="Email Performance" sheetId="4" state="visible" r:id="rId4"/>
    <sheet xmlns:r="http://schemas.openxmlformats.org/officeDocument/2006/relationships" name="⚙️ Setting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0.0%"/>
    <numFmt numFmtId="166" formatCode="\$#,##0.00"/>
    <numFmt numFmtId="167" formatCode="0.0\x"/>
    <numFmt numFmtId="168" formatCode="\+#,##0;\-#,##0"/>
    <numFmt numFmtId="169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00008B"/>
      <sz val="10"/>
    </font>
    <font>
      <name val="Arial"/>
      <i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BF3FB"/>
      </patternFill>
    </fill>
    <fill>
      <patternFill patternType="solid">
        <fgColor rgb="FF70AD47"/>
        <bgColor rgb="FF339966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3" fontId="7" fillId="7" borderId="0" applyAlignment="1" pivotButton="0" quotePrefix="0" xfId="0">
      <alignment horizontal="center" vertical="center"/>
    </xf>
    <xf numFmtId="165" fontId="7" fillId="8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164" fontId="7" fillId="9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49" fontId="10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right" vertical="center"/>
    </xf>
    <xf numFmtId="3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10" fontId="10" fillId="10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right" vertical="center"/>
    </xf>
    <xf numFmtId="49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0" fontId="10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167" fontId="10" fillId="11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165" fontId="11" fillId="1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168" fontId="11" fillId="10" borderId="1" applyAlignment="1" pivotButton="0" quotePrefix="0" xfId="0">
      <alignment horizontal="right" vertical="center"/>
    </xf>
    <xf numFmtId="169" fontId="10" fillId="10" borderId="1" applyAlignment="1" pivotButton="0" quotePrefix="0" xfId="0">
      <alignment horizontal="right" vertical="center"/>
    </xf>
    <xf numFmtId="168" fontId="11" fillId="11" borderId="1" applyAlignment="1" pivotButton="0" quotePrefix="0" xfId="0">
      <alignment horizontal="right" vertical="center"/>
    </xf>
    <xf numFmtId="169" fontId="10" fillId="11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164" fontId="13" fillId="13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67" fontId="13" fillId="13" borderId="1" applyAlignment="1" pivotButton="0" quotePrefix="0" xfId="0">
      <alignment horizontal="right" vertical="center"/>
    </xf>
    <xf numFmtId="9" fontId="13" fillId="13" borderId="1" applyAlignment="1" pivotButton="0" quotePrefix="0" xfId="0">
      <alignment horizontal="right" vertical="center"/>
    </xf>
    <xf numFmtId="3" fontId="13" fillId="1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3" fontId="7" fillId="7" borderId="0" applyAlignment="1" pivotButton="0" quotePrefix="0" xfId="0">
      <alignment horizontal="center" vertical="center"/>
    </xf>
    <xf numFmtId="165" fontId="7" fillId="8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164" fontId="7" fillId="9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49" fontId="10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right" vertical="center"/>
    </xf>
    <xf numFmtId="3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10" fontId="10" fillId="10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right" vertical="center"/>
    </xf>
    <xf numFmtId="49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0" fontId="10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167" fontId="10" fillId="11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165" fontId="11" fillId="1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168" fontId="11" fillId="10" borderId="1" applyAlignment="1" pivotButton="0" quotePrefix="0" xfId="0">
      <alignment horizontal="right" vertical="center"/>
    </xf>
    <xf numFmtId="169" fontId="10" fillId="10" borderId="1" applyAlignment="1" pivotButton="0" quotePrefix="0" xfId="0">
      <alignment horizontal="right" vertical="center"/>
    </xf>
    <xf numFmtId="168" fontId="11" fillId="11" borderId="1" applyAlignment="1" pivotButton="0" quotePrefix="0" xfId="0">
      <alignment horizontal="right" vertical="center"/>
    </xf>
    <xf numFmtId="169" fontId="10" fillId="11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164" fontId="13" fillId="13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67" fontId="13" fillId="13" borderId="1" applyAlignment="1" pivotButton="0" quotePrefix="0" xfId="0">
      <alignment horizontal="right" vertical="center"/>
    </xf>
    <xf numFmtId="9" fontId="13" fillId="13" borderId="1" applyAlignment="1" pivotButton="0" quotePrefix="0" xfId="0">
      <alignment horizontal="right" vertical="center"/>
    </xf>
    <xf numFmtId="3" fontId="13" fillId="13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5" min="1" max="1"/>
    <col width="13" customWidth="1" style="65" min="2" max="3"/>
    <col width="11" customWidth="1" style="65" min="4" max="6"/>
    <col width="12" customWidth="1" style="65" min="7" max="7"/>
    <col width="13" customWidth="1" style="65" min="8" max="8"/>
    <col width="12" customWidth="1" style="65" min="9" max="9"/>
    <col width="11" customWidth="1" style="65" min="10" max="10"/>
    <col width="12" customWidth="1" style="65" min="11" max="13"/>
    <col width="13" customWidth="1" style="65" min="14" max="14"/>
    <col width="11" customWidth="1" style="65" min="15" max="20"/>
  </cols>
  <sheetData>
    <row r="1" ht="30" customHeight="1" s="66">
      <c r="A1" s="67" t="inlineStr">
        <is>
          <t>MARKETING CAMPAIGN ROI DASHBOARD  |  FY 2026</t>
        </is>
      </c>
    </row>
    <row r="2" ht="18" customHeight="1" s="66"/>
    <row r="3" ht="18" customHeight="1" s="66">
      <c r="A3" s="68" t="inlineStr">
        <is>
          <t>Farhan Siddique | Virtual Assistant &amp; Data Specialist | May 2026</t>
        </is>
      </c>
    </row>
    <row r="4">
      <c r="A4" s="69" t="inlineStr">
        <is>
          <t>Multi-Channel Performance Analytics  |  ROI, CAC, CLV &amp; Attribution Analysis  |  Live data from Campaign Data sheet</t>
        </is>
      </c>
    </row>
    <row r="5" ht="13.5" customHeight="1" s="66"/>
    <row r="6" ht="30" customHeight="1" s="66">
      <c r="A6" s="70" t="inlineStr">
        <is>
          <t>Total Spend</t>
        </is>
      </c>
      <c r="C6" s="71" t="inlineStr">
        <is>
          <t>Total Revenue</t>
        </is>
      </c>
      <c r="E6" s="72" t="inlineStr">
        <is>
          <t>Overall ROI</t>
        </is>
      </c>
      <c r="G6" s="73" t="inlineStr">
        <is>
          <t>Total Leads</t>
        </is>
      </c>
      <c r="I6" s="74" t="inlineStr">
        <is>
          <t>Total Conversions</t>
        </is>
      </c>
      <c r="K6" s="75" t="inlineStr">
        <is>
          <t>Avg Conv Rate</t>
        </is>
      </c>
      <c r="M6" s="73" t="inlineStr">
        <is>
          <t>Avg CPC</t>
        </is>
      </c>
      <c r="O6" s="76" t="inlineStr">
        <is>
          <t>Avg CPA</t>
        </is>
      </c>
    </row>
    <row r="7" ht="13.5" customHeight="1" s="66">
      <c r="A7" s="77">
        <f>SUM('Campaign Data'!F2:F201)</f>
        <v/>
      </c>
      <c r="C7" s="78">
        <f>SUM('Campaign Data'!G2:G201)</f>
        <v/>
      </c>
      <c r="E7" s="79">
        <f>IFERROR((SUM('Campaign Data'!G2:G201)-SUM('Campaign Data'!F2:F201))/SUM('Campaign Data'!F2:F201),0)</f>
        <v/>
      </c>
      <c r="G7" s="80">
        <f>SUM('Campaign Data'!H2:H201)</f>
        <v/>
      </c>
      <c r="I7" s="81">
        <f>SUM('Campaign Data'!I2:I201)</f>
        <v/>
      </c>
      <c r="K7" s="82">
        <f>IFERROR(SUM('Campaign Data'!I2:I201)/SUM('Campaign Data'!H2:H201),0)</f>
        <v/>
      </c>
      <c r="M7" s="83">
        <f>IFERROR(SUM('Campaign Data'!F2:F201)/SUM('Campaign Data'!J2:J201),0)</f>
        <v/>
      </c>
      <c r="O7" s="84">
        <f>IFERROR(SUM('Campaign Data'!F2:F201)/SUM('Campaign Data'!I2:I201),0)</f>
        <v/>
      </c>
    </row>
    <row r="8">
      <c r="A8" s="85" t="n"/>
      <c r="C8" s="86" t="n"/>
      <c r="E8" s="87" t="n"/>
      <c r="G8" s="88" t="n"/>
      <c r="I8" s="89" t="n"/>
      <c r="K8" s="90" t="n"/>
      <c r="M8" s="88" t="n"/>
      <c r="O8" s="91" t="n"/>
    </row>
    <row r="9" ht="19.5" customHeight="1" s="66"/>
    <row r="10" ht="27.75" customHeight="1" s="66">
      <c r="A10" s="92" t="inlineStr">
        <is>
          <t>CHANNEL PERFORMANCE SUMMARY</t>
        </is>
      </c>
    </row>
    <row r="11" ht="15.75" customHeight="1" s="66">
      <c r="A11" s="93" t="inlineStr">
        <is>
          <t>Channel</t>
        </is>
      </c>
      <c r="B11" s="93" t="inlineStr">
        <is>
          <t>Spend</t>
        </is>
      </c>
      <c r="C11" s="93" t="inlineStr">
        <is>
          <t>Revenue</t>
        </is>
      </c>
      <c r="D11" s="93" t="inlineStr">
        <is>
          <t>ROI</t>
        </is>
      </c>
      <c r="E11" s="93" t="inlineStr">
        <is>
          <t>Leads</t>
        </is>
      </c>
      <c r="F11" s="93" t="inlineStr">
        <is>
          <t>Conversions</t>
        </is>
      </c>
      <c r="G11" s="93" t="inlineStr">
        <is>
          <t>Conv Rate</t>
        </is>
      </c>
      <c r="H11" s="93" t="inlineStr">
        <is>
          <t>Impressions</t>
        </is>
      </c>
      <c r="I11" s="93" t="inlineStr">
        <is>
          <t>Clicks</t>
        </is>
      </c>
      <c r="J11" s="93" t="inlineStr">
        <is>
          <t>CTR</t>
        </is>
      </c>
      <c r="K11" s="93" t="inlineStr">
        <is>
          <t>CPC</t>
        </is>
      </c>
      <c r="L11" s="93" t="inlineStr">
        <is>
          <t>CPA</t>
        </is>
      </c>
      <c r="M11" s="93" t="inlineStr">
        <is>
          <t>CLV</t>
        </is>
      </c>
      <c r="N11" s="93" t="inlineStr">
        <is>
          <t>ROAS</t>
        </is>
      </c>
    </row>
    <row r="12" ht="15.75" customHeight="1" s="66">
      <c r="A12" s="94" t="inlineStr">
        <is>
          <t>Google Ads</t>
        </is>
      </c>
      <c r="B12" s="95" t="n">
        <v>185000</v>
      </c>
      <c r="C12" s="95" t="n">
        <v>620000</v>
      </c>
      <c r="D12" s="96">
        <f>IFERROR((C11-B11)/B11,0)</f>
        <v/>
      </c>
      <c r="E12" s="97" t="n">
        <v>4200</v>
      </c>
      <c r="F12" s="97" t="n">
        <v>650</v>
      </c>
      <c r="G12" s="98">
        <f>IFERROR(F11/E11,0)</f>
        <v/>
      </c>
      <c r="H12" s="97" t="n">
        <v>892000</v>
      </c>
      <c r="I12" s="97" t="n">
        <v>22400</v>
      </c>
      <c r="J12" s="99" t="n">
        <v>0.0251121076233184</v>
      </c>
      <c r="K12" s="100" t="n">
        <v>8.258928571428569</v>
      </c>
      <c r="L12" s="95" t="n">
        <v>284.615384615385</v>
      </c>
      <c r="M12" s="95" t="n">
        <v>850</v>
      </c>
      <c r="N12" s="101" t="n">
        <v>3.35135135135135</v>
      </c>
    </row>
    <row r="13" ht="15.75" customHeight="1" s="66">
      <c r="A13" s="102" t="inlineStr">
        <is>
          <t>Facebook Ads</t>
        </is>
      </c>
      <c r="B13" s="103" t="n">
        <v>145000</v>
      </c>
      <c r="C13" s="103" t="n">
        <v>460000</v>
      </c>
      <c r="D13" s="104">
        <f>IFERROR((C12-B12)/B12,0)</f>
        <v/>
      </c>
      <c r="E13" s="105" t="n">
        <v>5800</v>
      </c>
      <c r="F13" s="105" t="n">
        <v>820</v>
      </c>
      <c r="G13" s="106">
        <f>IFERROR(F12/E12,0)</f>
        <v/>
      </c>
      <c r="H13" s="105" t="n">
        <v>1250000</v>
      </c>
      <c r="I13" s="105" t="n">
        <v>31500</v>
      </c>
      <c r="J13" s="107" t="n">
        <v>0.0252</v>
      </c>
      <c r="K13" s="108" t="n">
        <v>4.6031746031746</v>
      </c>
      <c r="L13" s="103" t="n">
        <v>176.829268292683</v>
      </c>
      <c r="M13" s="103" t="n">
        <v>720</v>
      </c>
      <c r="N13" s="109" t="n">
        <v>3.17241379310345</v>
      </c>
    </row>
    <row r="14" ht="15.75" customHeight="1" s="66">
      <c r="A14" s="94" t="inlineStr">
        <is>
          <t>LinkedIn Ads</t>
        </is>
      </c>
      <c r="B14" s="95" t="n">
        <v>95000</v>
      </c>
      <c r="C14" s="95" t="n">
        <v>350000</v>
      </c>
      <c r="D14" s="96">
        <f>IFERROR((C13-B13)/B13,0)</f>
        <v/>
      </c>
      <c r="E14" s="97" t="n">
        <v>2100</v>
      </c>
      <c r="F14" s="97" t="n">
        <v>280</v>
      </c>
      <c r="G14" s="98">
        <f>IFERROR(F13/E13,0)</f>
        <v/>
      </c>
      <c r="H14" s="97" t="n">
        <v>420000</v>
      </c>
      <c r="I14" s="97" t="n">
        <v>8500</v>
      </c>
      <c r="J14" s="99" t="n">
        <v>0.0202380952380952</v>
      </c>
      <c r="K14" s="100" t="n">
        <v>11.1764705882353</v>
      </c>
      <c r="L14" s="95" t="n">
        <v>339.285714285714</v>
      </c>
      <c r="M14" s="95" t="n">
        <v>1100</v>
      </c>
      <c r="N14" s="101" t="n">
        <v>3.68421052631579</v>
      </c>
    </row>
    <row r="15" ht="15.75" customHeight="1" s="66">
      <c r="A15" s="102" t="inlineStr">
        <is>
          <t>Email Marketing</t>
        </is>
      </c>
      <c r="B15" s="103" t="n">
        <v>32000</v>
      </c>
      <c r="C15" s="103" t="n">
        <v>280000</v>
      </c>
      <c r="D15" s="104">
        <f>IFERROR((C14-B14)/B14,0)</f>
        <v/>
      </c>
      <c r="E15" s="105" t="n">
        <v>6500</v>
      </c>
      <c r="F15" s="105" t="n">
        <v>940</v>
      </c>
      <c r="G15" s="106">
        <f>IFERROR(F14/E14,0)</f>
        <v/>
      </c>
      <c r="H15" s="105" t="n">
        <v>0</v>
      </c>
      <c r="I15" s="105" t="n">
        <v>0</v>
      </c>
      <c r="J15" s="107" t="n">
        <v>0</v>
      </c>
      <c r="K15" s="108" t="n">
        <v>0</v>
      </c>
      <c r="L15" s="103" t="n">
        <v>34.0425531914894</v>
      </c>
      <c r="M15" s="103" t="n">
        <v>650</v>
      </c>
      <c r="N15" s="109" t="n">
        <v>8.75</v>
      </c>
    </row>
    <row r="16" ht="15.75" customHeight="1" s="66">
      <c r="A16" s="94" t="inlineStr">
        <is>
          <t>SEO/Organic</t>
        </is>
      </c>
      <c r="B16" s="95" t="n">
        <v>18000</v>
      </c>
      <c r="C16" s="95" t="n">
        <v>420000</v>
      </c>
      <c r="D16" s="96">
        <f>IFERROR((C15-B15)/B15,0)</f>
        <v/>
      </c>
      <c r="E16" s="97" t="n">
        <v>3800</v>
      </c>
      <c r="F16" s="97" t="n">
        <v>580</v>
      </c>
      <c r="G16" s="98">
        <f>IFERROR(F15/E15,0)</f>
        <v/>
      </c>
      <c r="H16" s="97" t="n">
        <v>0</v>
      </c>
      <c r="I16" s="97" t="n">
        <v>0</v>
      </c>
      <c r="J16" s="99" t="n">
        <v>0</v>
      </c>
      <c r="K16" s="100" t="n">
        <v>0</v>
      </c>
      <c r="L16" s="95" t="n">
        <v>31.0344827586207</v>
      </c>
      <c r="M16" s="95" t="n">
        <v>780</v>
      </c>
      <c r="N16" s="101" t="n">
        <v>23.3333333333333</v>
      </c>
    </row>
    <row r="17" ht="15.75" customHeight="1" s="66">
      <c r="A17" s="102" t="inlineStr">
        <is>
          <t>Content Marketing</t>
        </is>
      </c>
      <c r="B17" s="103" t="n">
        <v>25000</v>
      </c>
      <c r="C17" s="103" t="n">
        <v>190000</v>
      </c>
      <c r="D17" s="104">
        <f>IFERROR((C16-B16)/B16,0)</f>
        <v/>
      </c>
      <c r="E17" s="105" t="n">
        <v>2200</v>
      </c>
      <c r="F17" s="105" t="n">
        <v>320</v>
      </c>
      <c r="G17" s="106">
        <f>IFERROR(F16/E16,0)</f>
        <v/>
      </c>
      <c r="H17" s="105" t="n">
        <v>0</v>
      </c>
      <c r="I17" s="105" t="n">
        <v>0</v>
      </c>
      <c r="J17" s="107" t="n">
        <v>0</v>
      </c>
      <c r="K17" s="108" t="n">
        <v>0</v>
      </c>
      <c r="L17" s="103" t="n">
        <v>78.125</v>
      </c>
      <c r="M17" s="103" t="n">
        <v>900</v>
      </c>
      <c r="N17" s="109" t="n">
        <v>7.6</v>
      </c>
    </row>
    <row r="18" ht="15.75" customHeight="1" s="66">
      <c r="A18" s="94" t="inlineStr">
        <is>
          <t>Affiliate</t>
        </is>
      </c>
      <c r="B18" s="95" t="n">
        <v>62000</v>
      </c>
      <c r="C18" s="95" t="n">
        <v>245000</v>
      </c>
      <c r="D18" s="96">
        <f>IFERROR((C17-B17)/B17,0)</f>
        <v/>
      </c>
      <c r="E18" s="97" t="n">
        <v>1800</v>
      </c>
      <c r="F18" s="97" t="n">
        <v>290</v>
      </c>
      <c r="G18" s="98">
        <f>IFERROR(F17/E17,0)</f>
        <v/>
      </c>
      <c r="H18" s="97" t="n">
        <v>480000</v>
      </c>
      <c r="I18" s="97" t="n">
        <v>12000</v>
      </c>
      <c r="J18" s="99" t="n">
        <v>0.025</v>
      </c>
      <c r="K18" s="100" t="n">
        <v>5.16666666666667</v>
      </c>
      <c r="L18" s="95" t="n">
        <v>213.793103448276</v>
      </c>
      <c r="M18" s="95" t="n">
        <v>580</v>
      </c>
      <c r="N18" s="101" t="n">
        <v>3.95161290322581</v>
      </c>
    </row>
    <row r="19" ht="15.75" customHeight="1" s="66">
      <c r="A19" s="102" t="inlineStr">
        <is>
          <t>Influencer</t>
        </is>
      </c>
      <c r="B19" s="103" t="n">
        <v>85000</v>
      </c>
      <c r="C19" s="103" t="n">
        <v>310000</v>
      </c>
      <c r="D19" s="104">
        <f>IFERROR((C18-B18)/B18,0)</f>
        <v/>
      </c>
      <c r="E19" s="105" t="n">
        <v>2900</v>
      </c>
      <c r="F19" s="105" t="n">
        <v>380</v>
      </c>
      <c r="G19" s="106">
        <f>IFERROR(F18/E18,0)</f>
        <v/>
      </c>
      <c r="H19" s="105" t="n">
        <v>620000</v>
      </c>
      <c r="I19" s="105" t="n">
        <v>15000</v>
      </c>
      <c r="J19" s="107" t="n">
        <v>0.0241935483870968</v>
      </c>
      <c r="K19" s="108" t="n">
        <v>5.66666666666667</v>
      </c>
      <c r="L19" s="103" t="n">
        <v>223.684210526316</v>
      </c>
      <c r="M19" s="103" t="n">
        <v>810</v>
      </c>
      <c r="N19" s="109" t="n">
        <v>3.64705882352941</v>
      </c>
    </row>
    <row r="20" ht="15.75" customHeight="1" s="66">
      <c r="A20" s="94" t="inlineStr">
        <is>
          <t>YouTube Ads</t>
        </is>
      </c>
      <c r="B20" s="95" t="n">
        <v>72000</v>
      </c>
      <c r="C20" s="95" t="n">
        <v>290000</v>
      </c>
      <c r="D20" s="96">
        <f>IFERROR((C19-B19)/B19,0)</f>
        <v/>
      </c>
      <c r="E20" s="97" t="n">
        <v>2400</v>
      </c>
      <c r="F20" s="97" t="n">
        <v>340</v>
      </c>
      <c r="G20" s="98">
        <f>IFERROR(F19/E19,0)</f>
        <v/>
      </c>
      <c r="H20" s="97" t="n">
        <v>780000</v>
      </c>
      <c r="I20" s="97" t="n">
        <v>19500</v>
      </c>
      <c r="J20" s="99" t="n">
        <v>0.025</v>
      </c>
      <c r="K20" s="100" t="n">
        <v>3.69230769230769</v>
      </c>
      <c r="L20" s="95" t="n">
        <v>211.764705882353</v>
      </c>
      <c r="M20" s="95" t="n">
        <v>750</v>
      </c>
      <c r="N20" s="101" t="n">
        <v>4.02777777777778</v>
      </c>
    </row>
    <row r="21" ht="15.75" customHeight="1" s="66">
      <c r="A21" s="102" t="inlineStr">
        <is>
          <t>Twitter/X Ads</t>
        </is>
      </c>
      <c r="B21" s="103" t="n">
        <v>28000</v>
      </c>
      <c r="C21" s="103" t="n">
        <v>95000</v>
      </c>
      <c r="D21" s="104">
        <f>IFERROR((C20-B20)/B20,0)</f>
        <v/>
      </c>
      <c r="E21" s="105" t="n">
        <v>1100</v>
      </c>
      <c r="F21" s="105" t="n">
        <v>140</v>
      </c>
      <c r="G21" s="106">
        <f>IFERROR(F20/E20,0)</f>
        <v/>
      </c>
      <c r="H21" s="105" t="n">
        <v>520000</v>
      </c>
      <c r="I21" s="105" t="n">
        <v>13000</v>
      </c>
      <c r="J21" s="107" t="n">
        <v>0.025</v>
      </c>
      <c r="K21" s="108" t="n">
        <v>2.15384615384615</v>
      </c>
      <c r="L21" s="103" t="n">
        <v>200</v>
      </c>
      <c r="M21" s="103" t="n">
        <v>520</v>
      </c>
      <c r="N21" s="109" t="n">
        <v>3.39285714285714</v>
      </c>
    </row>
    <row r="22" ht="15.75" customHeight="1" s="66">
      <c r="A22" s="94" t="inlineStr">
        <is>
          <t>TikTok Ads</t>
        </is>
      </c>
      <c r="B22" s="95" t="n">
        <v>45000</v>
      </c>
      <c r="C22" s="95" t="n">
        <v>165000</v>
      </c>
      <c r="D22" s="96">
        <f>IFERROR((C21-B21)/B21,0)</f>
        <v/>
      </c>
      <c r="E22" s="97" t="n">
        <v>2200</v>
      </c>
      <c r="F22" s="97" t="n">
        <v>280</v>
      </c>
      <c r="G22" s="98">
        <f>IFERROR(F21/E21,0)</f>
        <v/>
      </c>
      <c r="H22" s="97" t="n">
        <v>980000</v>
      </c>
      <c r="I22" s="97" t="n">
        <v>24500</v>
      </c>
      <c r="J22" s="99" t="n">
        <v>0.025</v>
      </c>
      <c r="K22" s="100" t="n">
        <v>1.83673469387755</v>
      </c>
      <c r="L22" s="95" t="n">
        <v>160.714285714286</v>
      </c>
      <c r="M22" s="95" t="n">
        <v>640</v>
      </c>
      <c r="N22" s="101" t="n">
        <v>3.66666666666667</v>
      </c>
    </row>
    <row r="23" ht="15.75" customHeight="1" s="66">
      <c r="A23" s="102" t="inlineStr">
        <is>
          <t>Display/Banner</t>
        </is>
      </c>
      <c r="B23" s="103" t="n">
        <v>38000</v>
      </c>
      <c r="C23" s="103" t="n">
        <v>125000</v>
      </c>
      <c r="D23" s="104">
        <f>IFERROR((C22-B22)/B22,0)</f>
        <v/>
      </c>
      <c r="E23" s="105" t="n">
        <v>1400</v>
      </c>
      <c r="F23" s="105" t="n">
        <v>175</v>
      </c>
      <c r="G23" s="106">
        <f>IFERROR(F22/E22,0)</f>
        <v/>
      </c>
      <c r="H23" s="105" t="n">
        <v>1450000</v>
      </c>
      <c r="I23" s="105" t="n">
        <v>36200</v>
      </c>
      <c r="J23" s="107" t="n">
        <v>0.0249655172413793</v>
      </c>
      <c r="K23" s="108" t="n">
        <v>1.04972375690608</v>
      </c>
      <c r="L23" s="103" t="n">
        <v>217.142857142857</v>
      </c>
      <c r="M23" s="103" t="n">
        <v>490</v>
      </c>
      <c r="N23" s="109" t="n">
        <v>3.28947368421053</v>
      </c>
    </row>
    <row r="24" ht="15.75" customHeight="1" s="66">
      <c r="A24" s="94" t="inlineStr">
        <is>
          <t>Podcast Ads</t>
        </is>
      </c>
      <c r="B24" s="95" t="n">
        <v>22000</v>
      </c>
      <c r="C24" s="95" t="n">
        <v>85000</v>
      </c>
      <c r="D24" s="96">
        <f>IFERROR((C23-B23)/B23,0)</f>
        <v/>
      </c>
      <c r="E24" s="97" t="n">
        <v>380</v>
      </c>
      <c r="F24" s="97" t="n">
        <v>55</v>
      </c>
      <c r="G24" s="98">
        <f>IFERROR(F23/E23,0)</f>
        <v/>
      </c>
      <c r="H24" s="97" t="n">
        <v>0</v>
      </c>
      <c r="I24" s="97" t="n">
        <v>0</v>
      </c>
      <c r="J24" s="99" t="n">
        <v>0</v>
      </c>
      <c r="K24" s="100" t="n">
        <v>0</v>
      </c>
      <c r="L24" s="95" t="n">
        <v>400</v>
      </c>
      <c r="M24" s="95" t="n">
        <v>1200</v>
      </c>
      <c r="N24" s="101" t="n">
        <v>3.86363636363636</v>
      </c>
    </row>
    <row r="25" ht="15" customHeight="1" s="66">
      <c r="A25" s="102" t="inlineStr">
        <is>
          <t>Webinars</t>
        </is>
      </c>
      <c r="B25" s="103" t="n">
        <v>15000</v>
      </c>
      <c r="C25" s="103" t="n">
        <v>120000</v>
      </c>
      <c r="D25" s="104">
        <f>IFERROR((C24-B24)/B24,0)</f>
        <v/>
      </c>
      <c r="E25" s="105" t="n">
        <v>1200</v>
      </c>
      <c r="F25" s="105" t="n">
        <v>190</v>
      </c>
      <c r="G25" s="106">
        <f>IFERROR(F24/E24,0)</f>
        <v/>
      </c>
      <c r="H25" s="105" t="n">
        <v>0</v>
      </c>
      <c r="I25" s="105" t="n">
        <v>0</v>
      </c>
      <c r="J25" s="107" t="n">
        <v>0</v>
      </c>
      <c r="K25" s="108" t="n">
        <v>0</v>
      </c>
      <c r="L25" s="103" t="n">
        <v>78.9473684210526</v>
      </c>
      <c r="M25" s="103" t="n">
        <v>950</v>
      </c>
      <c r="N25" s="109" t="n">
        <v>8</v>
      </c>
    </row>
    <row r="26">
      <c r="A26" s="110" t="inlineStr">
        <is>
          <t>TOTAL / AVERAGE</t>
        </is>
      </c>
      <c r="B26" s="111">
        <f>SUM(B11:B24)</f>
        <v/>
      </c>
      <c r="C26" s="111">
        <f>SUM(C11:C24)</f>
        <v/>
      </c>
      <c r="D26" s="112" t="n"/>
      <c r="E26" s="113">
        <f>SUM(E11:E24)</f>
        <v/>
      </c>
      <c r="F26" s="113">
        <f>SUM(F11:F24)</f>
        <v/>
      </c>
      <c r="G26" s="112" t="n"/>
      <c r="H26" s="113">
        <f>SUM(H11:H24)</f>
        <v/>
      </c>
      <c r="I26" s="113">
        <f>SUM(I11:I24)</f>
        <v/>
      </c>
      <c r="J26" s="112" t="n"/>
      <c r="K26" s="112" t="n"/>
      <c r="L26" s="112" t="n"/>
      <c r="M26" s="112" t="n"/>
      <c r="N26" s="112" t="n"/>
    </row>
    <row r="27" ht="19.5" customHeight="1" s="66"/>
    <row r="28" ht="15" customHeight="1" s="66">
      <c r="A28" s="92" t="inlineStr">
        <is>
          <t>MONTHLY BUDGET vs ACTUAL  |  ALL CHANNELS</t>
        </is>
      </c>
    </row>
    <row r="29" ht="15.75" customHeight="1" s="66">
      <c r="A29" s="114" t="inlineStr">
        <is>
          <t>Channel</t>
        </is>
      </c>
      <c r="B29" s="114" t="inlineStr">
        <is>
          <t>Jan</t>
        </is>
      </c>
      <c r="C29" s="114" t="inlineStr">
        <is>
          <t>Feb</t>
        </is>
      </c>
      <c r="D29" s="114" t="inlineStr">
        <is>
          <t>Mar</t>
        </is>
      </c>
      <c r="E29" s="114" t="inlineStr">
        <is>
          <t>Apr</t>
        </is>
      </c>
      <c r="F29" s="114" t="inlineStr">
        <is>
          <t>May</t>
        </is>
      </c>
      <c r="G29" s="114" t="inlineStr">
        <is>
          <t>Jun</t>
        </is>
      </c>
      <c r="H29" s="114" t="inlineStr">
        <is>
          <t>Jul</t>
        </is>
      </c>
      <c r="I29" s="114" t="inlineStr">
        <is>
          <t>Aug</t>
        </is>
      </c>
      <c r="J29" s="114" t="inlineStr">
        <is>
          <t>Sep</t>
        </is>
      </c>
      <c r="K29" s="114" t="inlineStr">
        <is>
          <t>Oct</t>
        </is>
      </c>
      <c r="L29" s="114" t="inlineStr">
        <is>
          <t>Nov</t>
        </is>
      </c>
      <c r="M29" s="114" t="inlineStr">
        <is>
          <t>Dec</t>
        </is>
      </c>
      <c r="N29" s="114" t="inlineStr">
        <is>
          <t>Total</t>
        </is>
      </c>
    </row>
    <row r="30" ht="15.75" customHeight="1" s="66">
      <c r="A30" s="115" t="inlineStr">
        <is>
          <t>Google Ads</t>
        </is>
      </c>
      <c r="B30" s="95" t="n">
        <v>15005</v>
      </c>
      <c r="C30" s="95" t="n">
        <v>17041</v>
      </c>
      <c r="D30" s="95" t="n">
        <v>16502</v>
      </c>
      <c r="E30" s="95" t="n">
        <v>16681</v>
      </c>
      <c r="F30" s="95" t="n">
        <v>13849</v>
      </c>
      <c r="G30" s="95" t="n">
        <v>14868</v>
      </c>
      <c r="H30" s="95" t="n">
        <v>13466</v>
      </c>
      <c r="I30" s="95" t="n">
        <v>14645</v>
      </c>
      <c r="J30" s="95" t="n">
        <v>17191</v>
      </c>
      <c r="K30" s="95" t="n">
        <v>15704</v>
      </c>
      <c r="L30" s="95" t="n">
        <v>14660</v>
      </c>
      <c r="M30" s="95" t="n">
        <v>16440</v>
      </c>
      <c r="N30" s="116">
        <f>SUM(B29:M29)</f>
        <v/>
      </c>
    </row>
    <row r="31" ht="15.75" customHeight="1" s="66">
      <c r="A31" s="117" t="inlineStr">
        <is>
          <t>Facebook Ads</t>
        </is>
      </c>
      <c r="B31" s="103" t="n">
        <v>13239</v>
      </c>
      <c r="C31" s="103" t="n">
        <v>12862</v>
      </c>
      <c r="D31" s="103" t="n">
        <v>11522</v>
      </c>
      <c r="E31" s="103" t="n">
        <v>12048</v>
      </c>
      <c r="F31" s="103" t="n">
        <v>10634</v>
      </c>
      <c r="G31" s="103" t="n">
        <v>11542</v>
      </c>
      <c r="H31" s="103" t="n">
        <v>13586</v>
      </c>
      <c r="I31" s="103" t="n">
        <v>13308</v>
      </c>
      <c r="J31" s="103" t="n">
        <v>13621</v>
      </c>
      <c r="K31" s="103" t="n">
        <v>12979</v>
      </c>
      <c r="L31" s="103" t="n">
        <v>10978</v>
      </c>
      <c r="M31" s="103" t="n">
        <v>12961</v>
      </c>
      <c r="N31" s="116">
        <f>SUM(B30:M30)</f>
        <v/>
      </c>
    </row>
    <row r="32" ht="15.75" customHeight="1" s="66">
      <c r="A32" s="115" t="inlineStr">
        <is>
          <t>LinkedIn Ads</t>
        </is>
      </c>
      <c r="B32" s="95" t="n">
        <v>8677</v>
      </c>
      <c r="C32" s="95" t="n">
        <v>7264</v>
      </c>
      <c r="D32" s="95" t="n">
        <v>9025</v>
      </c>
      <c r="E32" s="95" t="n">
        <v>9034</v>
      </c>
      <c r="F32" s="95" t="n">
        <v>7614</v>
      </c>
      <c r="G32" s="95" t="n">
        <v>8507</v>
      </c>
      <c r="H32" s="95" t="n">
        <v>8938</v>
      </c>
      <c r="I32" s="95" t="n">
        <v>8064</v>
      </c>
      <c r="J32" s="95" t="n">
        <v>7018</v>
      </c>
      <c r="K32" s="95" t="n">
        <v>8930</v>
      </c>
      <c r="L32" s="95" t="n">
        <v>7849</v>
      </c>
      <c r="M32" s="95" t="n">
        <v>6891</v>
      </c>
      <c r="N32" s="116">
        <f>SUM(B31:M31)</f>
        <v/>
      </c>
    </row>
    <row r="33" ht="15.75" customHeight="1" s="66">
      <c r="A33" s="117" t="inlineStr">
        <is>
          <t>Email Marketing</t>
        </is>
      </c>
      <c r="B33" s="103" t="n">
        <v>2942</v>
      </c>
      <c r="C33" s="103" t="n">
        <v>3048</v>
      </c>
      <c r="D33" s="103" t="n">
        <v>2668</v>
      </c>
      <c r="E33" s="103" t="n">
        <v>2959</v>
      </c>
      <c r="F33" s="103" t="n">
        <v>3157</v>
      </c>
      <c r="G33" s="103" t="n">
        <v>2695</v>
      </c>
      <c r="H33" s="103" t="n">
        <v>2642</v>
      </c>
      <c r="I33" s="103" t="n">
        <v>2577</v>
      </c>
      <c r="J33" s="103" t="n">
        <v>3153</v>
      </c>
      <c r="K33" s="103" t="n">
        <v>2745</v>
      </c>
      <c r="L33" s="103" t="n">
        <v>2670</v>
      </c>
      <c r="M33" s="103" t="n">
        <v>2659</v>
      </c>
      <c r="N33" s="116">
        <f>SUM(B32:M32)</f>
        <v/>
      </c>
    </row>
    <row r="34" ht="15.75" customHeight="1" s="66">
      <c r="A34" s="115" t="inlineStr">
        <is>
          <t>SEO/Organic</t>
        </is>
      </c>
      <c r="B34" s="95" t="n">
        <v>1694</v>
      </c>
      <c r="C34" s="95" t="n">
        <v>1621</v>
      </c>
      <c r="D34" s="95" t="n">
        <v>1440</v>
      </c>
      <c r="E34" s="95" t="n">
        <v>1577</v>
      </c>
      <c r="F34" s="95" t="n">
        <v>1447</v>
      </c>
      <c r="G34" s="95" t="n">
        <v>1715</v>
      </c>
      <c r="H34" s="95" t="n">
        <v>1634</v>
      </c>
      <c r="I34" s="95" t="n">
        <v>1586</v>
      </c>
      <c r="J34" s="95" t="n">
        <v>1620</v>
      </c>
      <c r="K34" s="95" t="n">
        <v>1695</v>
      </c>
      <c r="L34" s="95" t="n">
        <v>1695</v>
      </c>
      <c r="M34" s="95" t="n">
        <v>1691</v>
      </c>
      <c r="N34" s="116">
        <f>SUM(B33:M33)</f>
        <v/>
      </c>
    </row>
    <row r="35" ht="15.75" customHeight="1" s="66">
      <c r="A35" s="117" t="inlineStr">
        <is>
          <t>Content Marketing</t>
        </is>
      </c>
      <c r="B35" s="103" t="n">
        <v>2282</v>
      </c>
      <c r="C35" s="103" t="n">
        <v>2266</v>
      </c>
      <c r="D35" s="103" t="n">
        <v>1858</v>
      </c>
      <c r="E35" s="103" t="n">
        <v>2254</v>
      </c>
      <c r="F35" s="103" t="n">
        <v>1968</v>
      </c>
      <c r="G35" s="103" t="n">
        <v>2269</v>
      </c>
      <c r="H35" s="103" t="n">
        <v>1981</v>
      </c>
      <c r="I35" s="103" t="n">
        <v>1907</v>
      </c>
      <c r="J35" s="103" t="n">
        <v>2213</v>
      </c>
      <c r="K35" s="103" t="n">
        <v>1782</v>
      </c>
      <c r="L35" s="103" t="n">
        <v>2069</v>
      </c>
      <c r="M35" s="103" t="n">
        <v>1777</v>
      </c>
      <c r="N35" s="116">
        <f>SUM(B34:M34)</f>
        <v/>
      </c>
    </row>
    <row r="36" ht="15.75" customHeight="1" s="66">
      <c r="A36" s="115" t="inlineStr">
        <is>
          <t>Affiliate</t>
        </is>
      </c>
      <c r="B36" s="95" t="n">
        <v>5269</v>
      </c>
      <c r="C36" s="95" t="n">
        <v>5648</v>
      </c>
      <c r="D36" s="95" t="n">
        <v>5302</v>
      </c>
      <c r="E36" s="95" t="n">
        <v>5179</v>
      </c>
      <c r="F36" s="95" t="n">
        <v>5618</v>
      </c>
      <c r="G36" s="95" t="n">
        <v>4303</v>
      </c>
      <c r="H36" s="95" t="n">
        <v>5610</v>
      </c>
      <c r="I36" s="95" t="n">
        <v>4308</v>
      </c>
      <c r="J36" s="95" t="n">
        <v>4617</v>
      </c>
      <c r="K36" s="95" t="n">
        <v>4933</v>
      </c>
      <c r="L36" s="95" t="n">
        <v>4606</v>
      </c>
      <c r="M36" s="95" t="n">
        <v>4684</v>
      </c>
      <c r="N36" s="116">
        <f>SUM(B35:M35)</f>
        <v/>
      </c>
    </row>
    <row r="37" ht="15.75" customHeight="1" s="66">
      <c r="A37" s="117" t="inlineStr">
        <is>
          <t>Influencer</t>
        </is>
      </c>
      <c r="B37" s="103" t="n">
        <v>6600</v>
      </c>
      <c r="C37" s="103" t="n">
        <v>6370</v>
      </c>
      <c r="D37" s="103" t="n">
        <v>7159</v>
      </c>
      <c r="E37" s="103" t="n">
        <v>7680</v>
      </c>
      <c r="F37" s="103" t="n">
        <v>6796</v>
      </c>
      <c r="G37" s="103" t="n">
        <v>7168</v>
      </c>
      <c r="H37" s="103" t="n">
        <v>6623</v>
      </c>
      <c r="I37" s="103" t="n">
        <v>7558</v>
      </c>
      <c r="J37" s="103" t="n">
        <v>6545</v>
      </c>
      <c r="K37" s="103" t="n">
        <v>6679</v>
      </c>
      <c r="L37" s="103" t="n">
        <v>7728</v>
      </c>
      <c r="M37" s="103" t="n">
        <v>6658</v>
      </c>
      <c r="N37" s="116">
        <f>SUM(B36:M36)</f>
        <v/>
      </c>
    </row>
    <row r="38" ht="15.75" customHeight="1" s="66">
      <c r="A38" s="115" t="inlineStr">
        <is>
          <t>YouTube Ads</t>
        </is>
      </c>
      <c r="B38" s="95" t="n">
        <v>6732</v>
      </c>
      <c r="C38" s="95" t="n">
        <v>6045</v>
      </c>
      <c r="D38" s="95" t="n">
        <v>5373</v>
      </c>
      <c r="E38" s="95" t="n">
        <v>6085</v>
      </c>
      <c r="F38" s="95" t="n">
        <v>5975</v>
      </c>
      <c r="G38" s="95" t="n">
        <v>6280</v>
      </c>
      <c r="H38" s="95" t="n">
        <v>6129</v>
      </c>
      <c r="I38" s="95" t="n">
        <v>5734</v>
      </c>
      <c r="J38" s="95" t="n">
        <v>6398</v>
      </c>
      <c r="K38" s="95" t="n">
        <v>6002</v>
      </c>
      <c r="L38" s="95" t="n">
        <v>6709</v>
      </c>
      <c r="M38" s="95" t="n">
        <v>5359</v>
      </c>
      <c r="N38" s="116">
        <f>SUM(B37:M37)</f>
        <v/>
      </c>
    </row>
    <row r="39" ht="15.75" customHeight="1" s="66">
      <c r="A39" s="117" t="inlineStr">
        <is>
          <t>Twitter/X Ads</t>
        </is>
      </c>
      <c r="B39" s="103" t="n">
        <v>2692</v>
      </c>
      <c r="C39" s="103" t="n">
        <v>2507</v>
      </c>
      <c r="D39" s="103" t="n">
        <v>2557</v>
      </c>
      <c r="E39" s="103" t="n">
        <v>2841</v>
      </c>
      <c r="F39" s="103" t="n">
        <v>2422</v>
      </c>
      <c r="G39" s="103" t="n">
        <v>2457</v>
      </c>
      <c r="H39" s="103" t="n">
        <v>2399</v>
      </c>
      <c r="I39" s="103" t="n">
        <v>2725</v>
      </c>
      <c r="J39" s="103" t="n">
        <v>2503</v>
      </c>
      <c r="K39" s="103" t="n">
        <v>2438</v>
      </c>
      <c r="L39" s="103" t="n">
        <v>2786</v>
      </c>
      <c r="M39" s="103" t="n">
        <v>2219</v>
      </c>
      <c r="N39" s="116">
        <f>SUM(B38:M38)</f>
        <v/>
      </c>
    </row>
    <row r="40" ht="15.75" customHeight="1" s="66">
      <c r="A40" s="115" t="inlineStr">
        <is>
          <t>TikTok Ads</t>
        </is>
      </c>
      <c r="B40" s="95" t="n">
        <v>4288</v>
      </c>
      <c r="C40" s="95" t="n">
        <v>3919</v>
      </c>
      <c r="D40" s="95" t="n">
        <v>4368</v>
      </c>
      <c r="E40" s="95" t="n">
        <v>4170</v>
      </c>
      <c r="F40" s="95" t="n">
        <v>4340</v>
      </c>
      <c r="G40" s="95" t="n">
        <v>3866</v>
      </c>
      <c r="H40" s="95" t="n">
        <v>4096</v>
      </c>
      <c r="I40" s="95" t="n">
        <v>4427</v>
      </c>
      <c r="J40" s="95" t="n">
        <v>3519</v>
      </c>
      <c r="K40" s="95" t="n">
        <v>3669</v>
      </c>
      <c r="L40" s="95" t="n">
        <v>3791</v>
      </c>
      <c r="M40" s="95" t="n">
        <v>3432</v>
      </c>
      <c r="N40" s="116">
        <f>SUM(B39:M39)</f>
        <v/>
      </c>
    </row>
    <row r="41" ht="15.75" customHeight="1" s="66">
      <c r="A41" s="117" t="inlineStr">
        <is>
          <t>Display/Banner</t>
        </is>
      </c>
      <c r="B41" s="103" t="n">
        <v>2931</v>
      </c>
      <c r="C41" s="103" t="n">
        <v>3178</v>
      </c>
      <c r="D41" s="103" t="n">
        <v>3114</v>
      </c>
      <c r="E41" s="103" t="n">
        <v>3238</v>
      </c>
      <c r="F41" s="103" t="n">
        <v>3144</v>
      </c>
      <c r="G41" s="103" t="n">
        <v>3394</v>
      </c>
      <c r="H41" s="103" t="n">
        <v>3131</v>
      </c>
      <c r="I41" s="103" t="n">
        <v>3384</v>
      </c>
      <c r="J41" s="103" t="n">
        <v>3608</v>
      </c>
      <c r="K41" s="103" t="n">
        <v>2889</v>
      </c>
      <c r="L41" s="103" t="n">
        <v>3023</v>
      </c>
      <c r="M41" s="103" t="n">
        <v>3451</v>
      </c>
      <c r="N41" s="116">
        <f>SUM(B40:M40)</f>
        <v/>
      </c>
    </row>
    <row r="42" ht="15.75" customHeight="1" s="66">
      <c r="A42" s="115" t="inlineStr">
        <is>
          <t>Podcast Ads</t>
        </is>
      </c>
      <c r="B42" s="95" t="n">
        <v>1913</v>
      </c>
      <c r="C42" s="95" t="n">
        <v>1723</v>
      </c>
      <c r="D42" s="95" t="n">
        <v>1837</v>
      </c>
      <c r="E42" s="95" t="n">
        <v>1915</v>
      </c>
      <c r="F42" s="95" t="n">
        <v>1812</v>
      </c>
      <c r="G42" s="95" t="n">
        <v>1938</v>
      </c>
      <c r="H42" s="95" t="n">
        <v>1992</v>
      </c>
      <c r="I42" s="95" t="n">
        <v>1642</v>
      </c>
      <c r="J42" s="95" t="n">
        <v>1563</v>
      </c>
      <c r="K42" s="95" t="n">
        <v>1787</v>
      </c>
      <c r="L42" s="95" t="n">
        <v>1730</v>
      </c>
      <c r="M42" s="95" t="n">
        <v>1982</v>
      </c>
      <c r="N42" s="116">
        <f>SUM(B41:M41)</f>
        <v/>
      </c>
    </row>
    <row r="43" ht="15" customHeight="1" s="66">
      <c r="A43" s="117" t="inlineStr">
        <is>
          <t>Webinars</t>
        </is>
      </c>
      <c r="B43" s="103" t="n">
        <v>1095</v>
      </c>
      <c r="C43" s="103" t="n">
        <v>1153</v>
      </c>
      <c r="D43" s="103" t="n">
        <v>1332</v>
      </c>
      <c r="E43" s="103" t="n">
        <v>1316</v>
      </c>
      <c r="F43" s="103" t="n">
        <v>1143</v>
      </c>
      <c r="G43" s="103" t="n">
        <v>1369</v>
      </c>
      <c r="H43" s="103" t="n">
        <v>1192</v>
      </c>
      <c r="I43" s="103" t="n">
        <v>1357</v>
      </c>
      <c r="J43" s="103" t="n">
        <v>1247</v>
      </c>
      <c r="K43" s="103" t="n">
        <v>1211</v>
      </c>
      <c r="L43" s="103" t="n">
        <v>1355</v>
      </c>
      <c r="M43" s="103" t="n">
        <v>1146</v>
      </c>
      <c r="N43" s="116">
        <f>SUM(B42:M42)</f>
        <v/>
      </c>
    </row>
    <row r="44">
      <c r="A44" s="110" t="inlineStr">
        <is>
          <t>TOTAL</t>
        </is>
      </c>
      <c r="B44" s="111">
        <f>SUM(B29:B42)</f>
        <v/>
      </c>
      <c r="C44" s="111">
        <f>SUM(C29:C42)</f>
        <v/>
      </c>
      <c r="D44" s="111">
        <f>SUM(D29:D42)</f>
        <v/>
      </c>
      <c r="E44" s="111">
        <f>SUM(E29:E42)</f>
        <v/>
      </c>
      <c r="F44" s="111">
        <f>SUM(F29:F42)</f>
        <v/>
      </c>
      <c r="G44" s="111">
        <f>SUM(G29:G42)</f>
        <v/>
      </c>
      <c r="H44" s="111">
        <f>SUM(H29:H42)</f>
        <v/>
      </c>
      <c r="I44" s="111">
        <f>SUM(I29:I42)</f>
        <v/>
      </c>
      <c r="J44" s="111">
        <f>SUM(J29:J42)</f>
        <v/>
      </c>
      <c r="K44" s="111">
        <f>SUM(K29:K42)</f>
        <v/>
      </c>
      <c r="L44" s="111">
        <f>SUM(L29:L42)</f>
        <v/>
      </c>
      <c r="M44" s="111">
        <f>SUM(M29:M42)</f>
        <v/>
      </c>
      <c r="N44" s="111">
        <f>SUM(B43:M43)</f>
        <v/>
      </c>
    </row>
    <row r="45" ht="19.5" customHeight="1" s="66"/>
    <row r="46" ht="27.75" customHeight="1" s="66">
      <c r="A46" s="92" t="inlineStr">
        <is>
          <t>CONVERSION FUNNEL ANALYSIS  |  By Channel</t>
        </is>
      </c>
    </row>
    <row r="47" ht="15.75" customHeight="1" s="66">
      <c r="A47" s="93" t="inlineStr">
        <is>
          <t>Channel</t>
        </is>
      </c>
      <c r="B47" s="93" t="inlineStr">
        <is>
          <t>Impressions</t>
        </is>
      </c>
      <c r="C47" s="93" t="inlineStr">
        <is>
          <t>Clicks</t>
        </is>
      </c>
      <c r="D47" s="93" t="inlineStr">
        <is>
          <t>Leads</t>
        </is>
      </c>
      <c r="E47" s="93" t="inlineStr">
        <is>
          <t>MQLs</t>
        </is>
      </c>
      <c r="F47" s="93" t="inlineStr">
        <is>
          <t>SQLs</t>
        </is>
      </c>
      <c r="G47" s="93" t="inlineStr">
        <is>
          <t>Opportunities</t>
        </is>
      </c>
      <c r="H47" s="93" t="inlineStr">
        <is>
          <t>Closed Won</t>
        </is>
      </c>
    </row>
    <row r="48" ht="15.75" customHeight="1" s="66">
      <c r="A48" s="115" t="inlineStr">
        <is>
          <t>Google Ads</t>
        </is>
      </c>
      <c r="B48" s="97" t="n">
        <v>892000</v>
      </c>
      <c r="C48" s="97" t="n">
        <v>22400</v>
      </c>
      <c r="D48" s="97" t="n">
        <v>4200</v>
      </c>
      <c r="E48" s="97" t="n">
        <v>2100</v>
      </c>
      <c r="F48" s="97" t="n">
        <v>840</v>
      </c>
      <c r="G48" s="97" t="n">
        <v>336</v>
      </c>
      <c r="H48" s="97" t="n">
        <v>168</v>
      </c>
    </row>
    <row r="49" ht="15.75" customHeight="1" s="66">
      <c r="A49" s="117" t="inlineStr">
        <is>
          <t>Facebook Ads</t>
        </is>
      </c>
      <c r="B49" s="105" t="n">
        <v>1250000</v>
      </c>
      <c r="C49" s="105" t="n">
        <v>31500</v>
      </c>
      <c r="D49" s="105" t="n">
        <v>5800</v>
      </c>
      <c r="E49" s="105" t="n">
        <v>2900</v>
      </c>
      <c r="F49" s="105" t="n">
        <v>1160</v>
      </c>
      <c r="G49" s="105" t="n">
        <v>464</v>
      </c>
      <c r="H49" s="105" t="n">
        <v>185</v>
      </c>
    </row>
    <row r="50" ht="15.75" customHeight="1" s="66">
      <c r="A50" s="115" t="inlineStr">
        <is>
          <t>LinkedIn Ads</t>
        </is>
      </c>
      <c r="B50" s="97" t="n">
        <v>420000</v>
      </c>
      <c r="C50" s="97" t="n">
        <v>8500</v>
      </c>
      <c r="D50" s="97" t="n">
        <v>2100</v>
      </c>
      <c r="E50" s="97" t="n">
        <v>1050</v>
      </c>
      <c r="F50" s="97" t="n">
        <v>420</v>
      </c>
      <c r="G50" s="97" t="n">
        <v>168</v>
      </c>
      <c r="H50" s="97" t="n">
        <v>67</v>
      </c>
    </row>
    <row r="51" ht="15.75" customHeight="1" s="66">
      <c r="A51" s="117" t="inlineStr">
        <is>
          <t>Email Marketing</t>
        </is>
      </c>
      <c r="B51" s="105" t="n"/>
      <c r="C51" s="105" t="n"/>
      <c r="D51" s="105" t="n">
        <v>6500</v>
      </c>
      <c r="E51" s="105" t="n">
        <v>3250</v>
      </c>
      <c r="F51" s="105" t="n">
        <v>1300</v>
      </c>
      <c r="G51" s="105" t="n">
        <v>520</v>
      </c>
      <c r="H51" s="105" t="n">
        <v>208</v>
      </c>
    </row>
    <row r="52" ht="15.75" customHeight="1" s="66">
      <c r="A52" s="115" t="inlineStr">
        <is>
          <t>SEO/Organic</t>
        </is>
      </c>
      <c r="B52" s="97" t="n"/>
      <c r="C52" s="97" t="n"/>
      <c r="D52" s="97" t="n">
        <v>3800</v>
      </c>
      <c r="E52" s="97" t="n">
        <v>1900</v>
      </c>
      <c r="F52" s="97" t="n">
        <v>760</v>
      </c>
      <c r="G52" s="97" t="n">
        <v>304</v>
      </c>
      <c r="H52" s="97" t="n">
        <v>122</v>
      </c>
    </row>
    <row r="53" ht="15.75" customHeight="1" s="66">
      <c r="A53" s="117" t="inlineStr">
        <is>
          <t>Content Marketing</t>
        </is>
      </c>
      <c r="B53" s="105" t="n"/>
      <c r="C53" s="105" t="n"/>
      <c r="D53" s="105" t="n">
        <v>2200</v>
      </c>
      <c r="E53" s="105" t="n">
        <v>1100</v>
      </c>
      <c r="F53" s="105" t="n">
        <v>440</v>
      </c>
      <c r="G53" s="105" t="n">
        <v>176</v>
      </c>
      <c r="H53" s="105" t="n">
        <v>70</v>
      </c>
    </row>
    <row r="54" ht="15.75" customHeight="1" s="66">
      <c r="A54" s="115" t="inlineStr">
        <is>
          <t>Affiliate</t>
        </is>
      </c>
      <c r="B54" s="97" t="n">
        <v>480000</v>
      </c>
      <c r="C54" s="97" t="n">
        <v>12000</v>
      </c>
      <c r="D54" s="97" t="n">
        <v>1800</v>
      </c>
      <c r="E54" s="97" t="n">
        <v>900</v>
      </c>
      <c r="F54" s="97" t="n">
        <v>360</v>
      </c>
      <c r="G54" s="97" t="n">
        <v>144</v>
      </c>
      <c r="H54" s="97" t="n">
        <v>58</v>
      </c>
    </row>
    <row r="55" ht="15.75" customHeight="1" s="66">
      <c r="A55" s="117" t="inlineStr">
        <is>
          <t>Influencer</t>
        </is>
      </c>
      <c r="B55" s="105" t="n">
        <v>620000</v>
      </c>
      <c r="C55" s="105" t="n">
        <v>15000</v>
      </c>
      <c r="D55" s="105" t="n">
        <v>2900</v>
      </c>
      <c r="E55" s="105" t="n">
        <v>1450</v>
      </c>
      <c r="F55" s="105" t="n">
        <v>580</v>
      </c>
      <c r="G55" s="105" t="n">
        <v>232</v>
      </c>
      <c r="H55" s="105" t="n">
        <v>93</v>
      </c>
    </row>
    <row r="56" ht="15.75" customHeight="1" s="66">
      <c r="A56" s="115" t="inlineStr">
        <is>
          <t>YouTube Ads</t>
        </is>
      </c>
      <c r="B56" s="97" t="n">
        <v>780000</v>
      </c>
      <c r="C56" s="97" t="n">
        <v>19500</v>
      </c>
      <c r="D56" s="97" t="n">
        <v>2400</v>
      </c>
      <c r="E56" s="97" t="n">
        <v>1200</v>
      </c>
      <c r="F56" s="97" t="n">
        <v>480</v>
      </c>
      <c r="G56" s="97" t="n">
        <v>192</v>
      </c>
      <c r="H56" s="97" t="n">
        <v>77</v>
      </c>
    </row>
    <row r="57" ht="15.75" customHeight="1" s="66">
      <c r="A57" s="117" t="inlineStr">
        <is>
          <t>Twitter/X Ads</t>
        </is>
      </c>
      <c r="B57" s="105" t="n">
        <v>520000</v>
      </c>
      <c r="C57" s="105" t="n">
        <v>13000</v>
      </c>
      <c r="D57" s="105" t="n">
        <v>1100</v>
      </c>
      <c r="E57" s="105" t="n">
        <v>550</v>
      </c>
      <c r="F57" s="105" t="n">
        <v>220</v>
      </c>
      <c r="G57" s="105" t="n">
        <v>88</v>
      </c>
      <c r="H57" s="105" t="n">
        <v>35</v>
      </c>
    </row>
    <row r="58" ht="15.75" customHeight="1" s="66">
      <c r="A58" s="115" t="inlineStr">
        <is>
          <t>TikTok Ads</t>
        </is>
      </c>
      <c r="B58" s="97" t="n">
        <v>980000</v>
      </c>
      <c r="C58" s="97" t="n">
        <v>24500</v>
      </c>
      <c r="D58" s="97" t="n">
        <v>2200</v>
      </c>
      <c r="E58" s="97" t="n">
        <v>1100</v>
      </c>
      <c r="F58" s="97" t="n">
        <v>440</v>
      </c>
      <c r="G58" s="97" t="n">
        <v>176</v>
      </c>
      <c r="H58" s="97" t="n">
        <v>70</v>
      </c>
    </row>
    <row r="59" ht="15.75" customHeight="1" s="66">
      <c r="A59" s="117" t="inlineStr">
        <is>
          <t>Display/Banner</t>
        </is>
      </c>
      <c r="B59" s="105" t="n">
        <v>1450000</v>
      </c>
      <c r="C59" s="105" t="n">
        <v>36200</v>
      </c>
      <c r="D59" s="105" t="n">
        <v>1400</v>
      </c>
      <c r="E59" s="105" t="n">
        <v>700</v>
      </c>
      <c r="F59" s="105" t="n">
        <v>280</v>
      </c>
      <c r="G59" s="105" t="n">
        <v>112</v>
      </c>
      <c r="H59" s="105" t="n">
        <v>45</v>
      </c>
    </row>
    <row r="60" ht="15.75" customHeight="1" s="66">
      <c r="A60" s="115" t="inlineStr">
        <is>
          <t>Podcast Ads</t>
        </is>
      </c>
      <c r="B60" s="97" t="n"/>
      <c r="C60" s="97" t="n"/>
      <c r="D60" s="97" t="n">
        <v>380</v>
      </c>
      <c r="E60" s="97" t="n">
        <v>190</v>
      </c>
      <c r="F60" s="97" t="n">
        <v>76</v>
      </c>
      <c r="G60" s="97" t="n">
        <v>30</v>
      </c>
      <c r="H60" s="97" t="n">
        <v>12</v>
      </c>
    </row>
    <row r="61">
      <c r="A61" s="117" t="inlineStr">
        <is>
          <t>Webinars</t>
        </is>
      </c>
      <c r="B61" s="105" t="n"/>
      <c r="C61" s="105" t="n"/>
      <c r="D61" s="105" t="n">
        <v>1200</v>
      </c>
      <c r="E61" s="105" t="n">
        <v>600</v>
      </c>
      <c r="F61" s="105" t="n">
        <v>240</v>
      </c>
      <c r="G61" s="105" t="n">
        <v>96</v>
      </c>
      <c r="H61" s="105" t="n">
        <v>38</v>
      </c>
    </row>
    <row r="62" ht="19.5" customHeight="1" s="66"/>
    <row r="63" ht="27.75" customHeight="1" s="66">
      <c r="A63" s="92" t="inlineStr">
        <is>
          <t>ATTRIBUTION MODEL COMPARISON</t>
        </is>
      </c>
    </row>
    <row r="64" ht="15.75" customHeight="1" s="66">
      <c r="A64" s="93" t="inlineStr">
        <is>
          <t>Channel</t>
        </is>
      </c>
      <c r="B64" s="93" t="inlineStr">
        <is>
          <t>Last Click</t>
        </is>
      </c>
      <c r="C64" s="93" t="inlineStr">
        <is>
          <t>First Click</t>
        </is>
      </c>
      <c r="D64" s="93" t="inlineStr">
        <is>
          <t>Linear</t>
        </is>
      </c>
      <c r="E64" s="93" t="inlineStr">
        <is>
          <t>Time Decay</t>
        </is>
      </c>
      <c r="F64" s="93" t="inlineStr">
        <is>
          <t>Position Based</t>
        </is>
      </c>
      <c r="G64" s="93" t="inlineStr">
        <is>
          <t>Data Driven</t>
        </is>
      </c>
      <c r="H64" s="93" t="inlineStr">
        <is>
          <t>Avg Attribution</t>
        </is>
      </c>
    </row>
    <row r="65" ht="15.75" customHeight="1" s="66">
      <c r="A65" s="115" t="inlineStr">
        <is>
          <t>Google Ads</t>
        </is>
      </c>
      <c r="B65" s="98" t="n">
        <v>0.172</v>
      </c>
      <c r="C65" s="98" t="n">
        <v>0.225</v>
      </c>
      <c r="D65" s="98" t="n">
        <v>0.076</v>
      </c>
      <c r="E65" s="98" t="n">
        <v>0.187</v>
      </c>
      <c r="F65" s="98" t="n">
        <v>0.128</v>
      </c>
      <c r="G65" s="98" t="n">
        <v>0.065</v>
      </c>
      <c r="H65" s="118">
        <f>AVERAGE(B64:G64)</f>
        <v/>
      </c>
    </row>
    <row r="66" ht="15.75" customHeight="1" s="66">
      <c r="A66" s="117" t="inlineStr">
        <is>
          <t>Facebook Ads</t>
        </is>
      </c>
      <c r="B66" s="106" t="n">
        <v>0.105</v>
      </c>
      <c r="C66" s="106" t="n">
        <v>0.183</v>
      </c>
      <c r="D66" s="106" t="n">
        <v>0.24</v>
      </c>
      <c r="E66" s="106" t="n">
        <v>0.092</v>
      </c>
      <c r="F66" s="106" t="n">
        <v>0.192</v>
      </c>
      <c r="G66" s="106" t="n">
        <v>0.131</v>
      </c>
      <c r="H66" s="118">
        <f>AVERAGE(B65:G65)</f>
        <v/>
      </c>
    </row>
    <row r="67" ht="15.75" customHeight="1" s="66">
      <c r="A67" s="115" t="inlineStr">
        <is>
          <t>LinkedIn Ads</t>
        </is>
      </c>
      <c r="B67" s="98" t="n">
        <v>0.176</v>
      </c>
      <c r="C67" s="98" t="n">
        <v>0.119</v>
      </c>
      <c r="D67" s="98" t="n">
        <v>0.08500000000000001</v>
      </c>
      <c r="E67" s="98" t="n">
        <v>0.198</v>
      </c>
      <c r="F67" s="98" t="n">
        <v>0.15</v>
      </c>
      <c r="G67" s="98" t="n">
        <v>0.058</v>
      </c>
      <c r="H67" s="118">
        <f>AVERAGE(B66:G66)</f>
        <v/>
      </c>
    </row>
    <row r="68" ht="15.75" customHeight="1" s="66">
      <c r="A68" s="117" t="inlineStr">
        <is>
          <t>Email Marketing</t>
        </is>
      </c>
      <c r="B68" s="106" t="n">
        <v>0.082</v>
      </c>
      <c r="C68" s="106" t="n">
        <v>0.243</v>
      </c>
      <c r="D68" s="106" t="n">
        <v>0.101</v>
      </c>
      <c r="E68" s="106" t="n">
        <v>0.152</v>
      </c>
      <c r="F68" s="106" t="n">
        <v>0.177</v>
      </c>
      <c r="G68" s="106" t="n">
        <v>0.229</v>
      </c>
      <c r="H68" s="118">
        <f>AVERAGE(B67:G67)</f>
        <v/>
      </c>
    </row>
    <row r="69" ht="15.75" customHeight="1" s="66">
      <c r="A69" s="115" t="inlineStr">
        <is>
          <t>SEO/Organic</t>
        </is>
      </c>
      <c r="B69" s="98" t="n">
        <v>0.174</v>
      </c>
      <c r="C69" s="98" t="n">
        <v>0.193</v>
      </c>
      <c r="D69" s="98" t="n">
        <v>0.07099999999999999</v>
      </c>
      <c r="E69" s="98" t="n">
        <v>0.106</v>
      </c>
      <c r="F69" s="98" t="n">
        <v>0.074</v>
      </c>
      <c r="G69" s="98" t="n">
        <v>0.152</v>
      </c>
      <c r="H69" s="118">
        <f>AVERAGE(B68:G68)</f>
        <v/>
      </c>
    </row>
    <row r="70" ht="15.75" customHeight="1" s="66">
      <c r="A70" s="117" t="inlineStr">
        <is>
          <t>Content Marketing</t>
        </is>
      </c>
      <c r="B70" s="106" t="n">
        <v>0.12</v>
      </c>
      <c r="C70" s="106" t="n">
        <v>0.105</v>
      </c>
      <c r="D70" s="106" t="n">
        <v>0.19</v>
      </c>
      <c r="E70" s="106" t="n">
        <v>0.148</v>
      </c>
      <c r="F70" s="106" t="n">
        <v>0.149</v>
      </c>
      <c r="G70" s="106" t="n">
        <v>0.104</v>
      </c>
      <c r="H70" s="118">
        <f>AVERAGE(B69:G69)</f>
        <v/>
      </c>
    </row>
    <row r="71" ht="15.75" customHeight="1" s="66">
      <c r="A71" s="115" t="inlineStr">
        <is>
          <t>Affiliate</t>
        </is>
      </c>
      <c r="B71" s="98" t="n">
        <v>0.098</v>
      </c>
      <c r="C71" s="98" t="n">
        <v>0.202</v>
      </c>
      <c r="D71" s="98" t="n">
        <v>0.15</v>
      </c>
      <c r="E71" s="98" t="n">
        <v>0.056</v>
      </c>
      <c r="F71" s="98" t="n">
        <v>0.066</v>
      </c>
      <c r="G71" s="98" t="n">
        <v>0.073</v>
      </c>
      <c r="H71" s="118">
        <f>AVERAGE(B70:G70)</f>
        <v/>
      </c>
    </row>
    <row r="72" ht="15.75" customHeight="1" s="66">
      <c r="A72" s="117" t="inlineStr">
        <is>
          <t>Influencer</t>
        </is>
      </c>
      <c r="B72" s="106" t="n">
        <v>0.09</v>
      </c>
      <c r="C72" s="106" t="n">
        <v>0.059</v>
      </c>
      <c r="D72" s="106" t="n">
        <v>0.063</v>
      </c>
      <c r="E72" s="106" t="n">
        <v>0.21</v>
      </c>
      <c r="F72" s="106" t="n">
        <v>0.11</v>
      </c>
      <c r="G72" s="106" t="n">
        <v>0.178</v>
      </c>
      <c r="H72" s="118">
        <f>AVERAGE(B71:G71)</f>
        <v/>
      </c>
    </row>
    <row r="73" ht="15.75" customHeight="1" s="66">
      <c r="A73" s="115" t="inlineStr">
        <is>
          <t>YouTube Ads</t>
        </is>
      </c>
      <c r="B73" s="98" t="n">
        <v>0.061</v>
      </c>
      <c r="C73" s="98" t="n">
        <v>0.066</v>
      </c>
      <c r="D73" s="98" t="n">
        <v>0.177</v>
      </c>
      <c r="E73" s="98" t="n">
        <v>0.061</v>
      </c>
      <c r="F73" s="98" t="n">
        <v>0.243</v>
      </c>
      <c r="G73" s="98" t="n">
        <v>0.065</v>
      </c>
      <c r="H73" s="118">
        <f>AVERAGE(B72:G72)</f>
        <v/>
      </c>
    </row>
    <row r="74" ht="15.75" customHeight="1" s="66">
      <c r="A74" s="117" t="inlineStr">
        <is>
          <t>Twitter/X Ads</t>
        </is>
      </c>
      <c r="B74" s="106" t="n">
        <v>0.118</v>
      </c>
      <c r="C74" s="106" t="n">
        <v>0.194</v>
      </c>
      <c r="D74" s="106" t="n">
        <v>0.239</v>
      </c>
      <c r="E74" s="106" t="n">
        <v>0.062</v>
      </c>
      <c r="F74" s="106" t="n">
        <v>0.15</v>
      </c>
      <c r="G74" s="106" t="n">
        <v>0.106</v>
      </c>
      <c r="H74" s="118">
        <f>AVERAGE(B73:G73)</f>
        <v/>
      </c>
    </row>
    <row r="75" ht="15.75" customHeight="1" s="66">
      <c r="A75" s="115" t="inlineStr">
        <is>
          <t>TikTok Ads</t>
        </is>
      </c>
      <c r="B75" s="98" t="n">
        <v>0.126</v>
      </c>
      <c r="C75" s="98" t="n">
        <v>0.178</v>
      </c>
      <c r="D75" s="98" t="n">
        <v>0.166</v>
      </c>
      <c r="E75" s="98" t="n">
        <v>0.054</v>
      </c>
      <c r="F75" s="98" t="n">
        <v>0.173</v>
      </c>
      <c r="G75" s="98" t="n">
        <v>0.051</v>
      </c>
      <c r="H75" s="118">
        <f>AVERAGE(B74:G74)</f>
        <v/>
      </c>
    </row>
    <row r="76" ht="15.75" customHeight="1" s="66">
      <c r="A76" s="117" t="inlineStr">
        <is>
          <t>Display/Banner</t>
        </is>
      </c>
      <c r="B76" s="106" t="n">
        <v>0.116</v>
      </c>
      <c r="C76" s="106" t="n">
        <v>0.097</v>
      </c>
      <c r="D76" s="106" t="n">
        <v>0.054</v>
      </c>
      <c r="E76" s="106" t="n">
        <v>0.057</v>
      </c>
      <c r="F76" s="106" t="n">
        <v>0.21</v>
      </c>
      <c r="G76" s="106" t="n">
        <v>0.198</v>
      </c>
      <c r="H76" s="118">
        <f>AVERAGE(B75:G75)</f>
        <v/>
      </c>
    </row>
    <row r="77" ht="15.75" customHeight="1" s="66">
      <c r="A77" s="115" t="inlineStr">
        <is>
          <t>Podcast Ads</t>
        </is>
      </c>
      <c r="B77" s="98" t="n">
        <v>0.121</v>
      </c>
      <c r="C77" s="98" t="n">
        <v>0.123</v>
      </c>
      <c r="D77" s="98" t="n">
        <v>0.097</v>
      </c>
      <c r="E77" s="98" t="n">
        <v>0.177</v>
      </c>
      <c r="F77" s="98" t="n">
        <v>0.165</v>
      </c>
      <c r="G77" s="98" t="n">
        <v>0.162</v>
      </c>
      <c r="H77" s="118">
        <f>AVERAGE(B76:G76)</f>
        <v/>
      </c>
    </row>
    <row r="78">
      <c r="A78" s="117" t="inlineStr">
        <is>
          <t>Webinars</t>
        </is>
      </c>
      <c r="B78" s="106" t="n">
        <v>0.197</v>
      </c>
      <c r="C78" s="106" t="n">
        <v>0.189</v>
      </c>
      <c r="D78" s="106" t="n">
        <v>0.248</v>
      </c>
      <c r="E78" s="106" t="n">
        <v>0.099</v>
      </c>
      <c r="F78" s="106" t="n">
        <v>0.059</v>
      </c>
      <c r="G78" s="106" t="n">
        <v>0.203</v>
      </c>
      <c r="H78" s="118">
        <f>AVERAGE(B77:G77)</f>
        <v/>
      </c>
    </row>
  </sheetData>
  <mergeCells count="30">
    <mergeCell ref="O7:P7"/>
    <mergeCell ref="A9:N9"/>
    <mergeCell ref="C6:D6"/>
    <mergeCell ref="I6:J6"/>
    <mergeCell ref="C5:D5"/>
    <mergeCell ref="O6:P6"/>
    <mergeCell ref="E5:F5"/>
    <mergeCell ref="K5:L5"/>
    <mergeCell ref="M5:N5"/>
    <mergeCell ref="A45:H45"/>
    <mergeCell ref="A6:B6"/>
    <mergeCell ref="A7:B7"/>
    <mergeCell ref="G7:H7"/>
    <mergeCell ref="O5:P5"/>
    <mergeCell ref="I7:J7"/>
    <mergeCell ref="G6:H6"/>
    <mergeCell ref="M7:N7"/>
    <mergeCell ref="A27:N27"/>
    <mergeCell ref="E6:F6"/>
    <mergeCell ref="M6:N6"/>
    <mergeCell ref="A3:T3"/>
    <mergeCell ref="A5:B5"/>
    <mergeCell ref="G5:H5"/>
    <mergeCell ref="I5:J5"/>
    <mergeCell ref="A1:T2"/>
    <mergeCell ref="K7:L7"/>
    <mergeCell ref="A62:H62"/>
    <mergeCell ref="C7:D7"/>
    <mergeCell ref="E7:F7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5" min="1" max="1"/>
    <col width="28" customWidth="1" style="65" min="2" max="2"/>
    <col width="16" customWidth="1" style="65" min="3" max="3"/>
    <col width="14" customWidth="1" style="65" min="4" max="4"/>
    <col width="8" customWidth="1" style="65" min="5" max="5"/>
    <col width="11" customWidth="1" style="65" min="6" max="6"/>
    <col width="12" customWidth="1" style="65" min="7" max="7"/>
    <col width="10" customWidth="1" style="65" min="8" max="8"/>
    <col width="12" customWidth="1" style="65" min="9" max="9"/>
    <col width="10" customWidth="1" style="65" min="10" max="10"/>
    <col width="13" customWidth="1" style="65" min="11" max="11"/>
    <col width="8" customWidth="1" style="65" min="12" max="12"/>
    <col width="10" customWidth="1" style="65" min="13" max="16"/>
    <col width="12" customWidth="1" style="65" min="17" max="18"/>
    <col width="20" customWidth="1" style="65" min="19" max="19"/>
    <col width="12" customWidth="1" style="65" min="20" max="20"/>
    <col width="20" customWidth="1" style="65" min="21" max="21"/>
  </cols>
  <sheetData>
    <row r="1" ht="15" customHeight="1" s="66">
      <c r="A1" s="110" t="inlineStr">
        <is>
          <t>Campaign ID</t>
        </is>
      </c>
      <c r="B1" s="110" t="inlineStr">
        <is>
          <t>Campaign Name</t>
        </is>
      </c>
      <c r="C1" s="110" t="inlineStr">
        <is>
          <t>Channel</t>
        </is>
      </c>
      <c r="D1" s="110" t="inlineStr">
        <is>
          <t>Type</t>
        </is>
      </c>
      <c r="E1" s="110" t="inlineStr">
        <is>
          <t>Quarter</t>
        </is>
      </c>
      <c r="F1" s="110" t="inlineStr">
        <is>
          <t>Spend</t>
        </is>
      </c>
      <c r="G1" s="110" t="inlineStr">
        <is>
          <t>Revenue</t>
        </is>
      </c>
      <c r="H1" s="110" t="inlineStr">
        <is>
          <t>Leads</t>
        </is>
      </c>
      <c r="I1" s="110" t="inlineStr">
        <is>
          <t>Conversions</t>
        </is>
      </c>
      <c r="J1" s="110" t="inlineStr">
        <is>
          <t>Clicks</t>
        </is>
      </c>
      <c r="K1" s="110" t="inlineStr">
        <is>
          <t>Impressions</t>
        </is>
      </c>
      <c r="L1" s="110" t="inlineStr">
        <is>
          <t>CTR</t>
        </is>
      </c>
      <c r="M1" s="110" t="inlineStr">
        <is>
          <t>CPC</t>
        </is>
      </c>
      <c r="N1" s="110" t="inlineStr">
        <is>
          <t>CPA</t>
        </is>
      </c>
      <c r="O1" s="110" t="inlineStr">
        <is>
          <t>ROI</t>
        </is>
      </c>
      <c r="P1" s="110" t="inlineStr">
        <is>
          <t>Conv Rate</t>
        </is>
      </c>
      <c r="Q1" s="110" t="inlineStr">
        <is>
          <t>Start Date</t>
        </is>
      </c>
      <c r="R1" s="110" t="inlineStr">
        <is>
          <t>End Date</t>
        </is>
      </c>
      <c r="S1" s="110" t="inlineStr">
        <is>
          <t>Target Audience</t>
        </is>
      </c>
      <c r="T1" s="110" t="inlineStr">
        <is>
          <t>Status</t>
        </is>
      </c>
      <c r="U1" s="110" t="inlineStr">
        <is>
          <t>Notes</t>
        </is>
      </c>
    </row>
    <row r="2" ht="15" customHeight="1" s="66">
      <c r="A2" s="94" t="inlineStr">
        <is>
          <t>CAMP-2025001</t>
        </is>
      </c>
      <c r="B2" s="94" t="inlineStr">
        <is>
          <t>Google Ads - Brand Awareness - Q1 Alpha</t>
        </is>
      </c>
      <c r="C2" s="94" t="inlineStr">
        <is>
          <t>Google Ads</t>
        </is>
      </c>
      <c r="D2" s="94" t="inlineStr">
        <is>
          <t>Brand Awareness</t>
        </is>
      </c>
      <c r="E2" s="94" t="inlineStr">
        <is>
          <t>Q1</t>
        </is>
      </c>
      <c r="F2" s="95" t="n">
        <v>71000</v>
      </c>
      <c r="G2" s="95" t="n">
        <v>244420</v>
      </c>
      <c r="H2" s="97" t="n">
        <v>1652</v>
      </c>
      <c r="I2" s="97" t="n">
        <v>315</v>
      </c>
      <c r="J2" s="97" t="n">
        <v>24515</v>
      </c>
      <c r="K2" s="97" t="n">
        <v>638316</v>
      </c>
      <c r="L2" s="99">
        <f>IFERROR(J2/K2,0)</f>
        <v/>
      </c>
      <c r="M2" s="100">
        <f>IFERROR(F2/J2,0)</f>
        <v/>
      </c>
      <c r="N2" s="95">
        <f>IFERROR(F2/I2,0)</f>
        <v/>
      </c>
      <c r="O2" s="98">
        <f>IFERROR((G2-F2)/F2,0)</f>
        <v/>
      </c>
      <c r="P2" s="98">
        <f>IFERROR(I2/H2,0)</f>
        <v/>
      </c>
      <c r="Q2" s="94" t="inlineStr">
        <is>
          <t>2025-05-31</t>
        </is>
      </c>
      <c r="R2" s="94" t="inlineStr">
        <is>
          <t>2025-08-09</t>
        </is>
      </c>
      <c r="S2" s="94" t="inlineStr">
        <is>
          <t>B2B Executives</t>
        </is>
      </c>
      <c r="T2" s="94" t="inlineStr">
        <is>
          <t>Completed</t>
        </is>
      </c>
      <c r="U2" s="94" t="inlineStr">
        <is>
          <t>Brand Awareness campaign - B2B Executives</t>
        </is>
      </c>
    </row>
    <row r="3" ht="15" customHeight="1" s="66">
      <c r="A3" s="102" t="inlineStr">
        <is>
          <t>CAMP-2025002</t>
        </is>
      </c>
      <c r="B3" s="102" t="inlineStr">
        <is>
          <t>Facebook Ads - Lead Gen - Q1 Beta</t>
        </is>
      </c>
      <c r="C3" s="102" t="inlineStr">
        <is>
          <t>Facebook Ads</t>
        </is>
      </c>
      <c r="D3" s="102" t="inlineStr">
        <is>
          <t>Lead Gen</t>
        </is>
      </c>
      <c r="E3" s="102" t="inlineStr">
        <is>
          <t>Q1</t>
        </is>
      </c>
      <c r="F3" s="103" t="n">
        <v>70000</v>
      </c>
      <c r="G3" s="103" t="n">
        <v>130427</v>
      </c>
      <c r="H3" s="105" t="n">
        <v>2131</v>
      </c>
      <c r="I3" s="105" t="n">
        <v>395</v>
      </c>
      <c r="J3" s="105" t="n">
        <v>25469</v>
      </c>
      <c r="K3" s="105" t="n">
        <v>1235764</v>
      </c>
      <c r="L3" s="107">
        <f>IFERROR(J3/K3,0)</f>
        <v/>
      </c>
      <c r="M3" s="108">
        <f>IFERROR(F3/J3,0)</f>
        <v/>
      </c>
      <c r="N3" s="103">
        <f>IFERROR(F3/I3,0)</f>
        <v/>
      </c>
      <c r="O3" s="106">
        <f>IFERROR((G3-F3)/F3,0)</f>
        <v/>
      </c>
      <c r="P3" s="106">
        <f>IFERROR(I3/H3,0)</f>
        <v/>
      </c>
      <c r="Q3" s="102" t="inlineStr">
        <is>
          <t>2025-02-06</t>
        </is>
      </c>
      <c r="R3" s="102" t="inlineStr">
        <is>
          <t>2025-05-07</t>
        </is>
      </c>
      <c r="S3" s="102" t="inlineStr">
        <is>
          <t>SMB Owners</t>
        </is>
      </c>
      <c r="T3" s="102" t="inlineStr">
        <is>
          <t>Completed</t>
        </is>
      </c>
      <c r="U3" s="102" t="inlineStr">
        <is>
          <t>Lead Gen campaign - SMB Owners</t>
        </is>
      </c>
    </row>
    <row r="4" ht="15" customHeight="1" s="66">
      <c r="A4" s="94" t="inlineStr">
        <is>
          <t>CAMP-2025003</t>
        </is>
      </c>
      <c r="B4" s="94" t="inlineStr">
        <is>
          <t>LinkedIn Ads - Retargeting - Q1 Gamma</t>
        </is>
      </c>
      <c r="C4" s="94" t="inlineStr">
        <is>
          <t>LinkedIn Ads</t>
        </is>
      </c>
      <c r="D4" s="94" t="inlineStr">
        <is>
          <t>Retargeting</t>
        </is>
      </c>
      <c r="E4" s="94" t="inlineStr">
        <is>
          <t>Q1</t>
        </is>
      </c>
      <c r="F4" s="95" t="n">
        <v>47000</v>
      </c>
      <c r="G4" s="95" t="n">
        <v>70564</v>
      </c>
      <c r="H4" s="97" t="n">
        <v>2215</v>
      </c>
      <c r="I4" s="97" t="n">
        <v>332</v>
      </c>
      <c r="J4" s="97" t="n">
        <v>55514</v>
      </c>
      <c r="K4" s="97" t="n">
        <v>848443</v>
      </c>
      <c r="L4" s="99">
        <f>IFERROR(J4/K4,0)</f>
        <v/>
      </c>
      <c r="M4" s="100">
        <f>IFERROR(F4/J4,0)</f>
        <v/>
      </c>
      <c r="N4" s="95">
        <f>IFERROR(F4/I4,0)</f>
        <v/>
      </c>
      <c r="O4" s="98">
        <f>IFERROR((G4-F4)/F4,0)</f>
        <v/>
      </c>
      <c r="P4" s="98">
        <f>IFERROR(I4/H4,0)</f>
        <v/>
      </c>
      <c r="Q4" s="94" t="inlineStr">
        <is>
          <t>2025-08-19</t>
        </is>
      </c>
      <c r="R4" s="94" t="inlineStr">
        <is>
          <t>2025-09-22</t>
        </is>
      </c>
      <c r="S4" s="94" t="inlineStr">
        <is>
          <t>Enterprise IT</t>
        </is>
      </c>
      <c r="T4" s="94" t="inlineStr">
        <is>
          <t>Completed</t>
        </is>
      </c>
      <c r="U4" s="94" t="inlineStr">
        <is>
          <t>Retargeting campaign - Enterprise IT</t>
        </is>
      </c>
    </row>
    <row r="5" ht="15" customHeight="1" s="66">
      <c r="A5" s="102" t="inlineStr">
        <is>
          <t>CAMP-2025004</t>
        </is>
      </c>
      <c r="B5" s="102" t="inlineStr">
        <is>
          <t>Email Marketing - Product Launch - Q2 Delta</t>
        </is>
      </c>
      <c r="C5" s="102" t="inlineStr">
        <is>
          <t>Email Marketing</t>
        </is>
      </c>
      <c r="D5" s="102" t="inlineStr">
        <is>
          <t>Product Launch</t>
        </is>
      </c>
      <c r="E5" s="102" t="inlineStr">
        <is>
          <t>Q2</t>
        </is>
      </c>
      <c r="F5" s="103" t="n">
        <v>32000</v>
      </c>
      <c r="G5" s="103" t="n">
        <v>138198</v>
      </c>
      <c r="H5" s="105" t="n">
        <v>1194</v>
      </c>
      <c r="I5" s="105" t="n">
        <v>109</v>
      </c>
      <c r="J5" s="105" t="n">
        <v>0</v>
      </c>
      <c r="K5" s="105" t="n">
        <v>0</v>
      </c>
      <c r="L5" s="107">
        <f>IFERROR(J5/K5,0)</f>
        <v/>
      </c>
      <c r="M5" s="108">
        <f>IFERROR(F5/J5,0)</f>
        <v/>
      </c>
      <c r="N5" s="103">
        <f>IFERROR(F5/I5,0)</f>
        <v/>
      </c>
      <c r="O5" s="106">
        <f>IFERROR((G5-F5)/F5,0)</f>
        <v/>
      </c>
      <c r="P5" s="106">
        <f>IFERROR(I5/H5,0)</f>
        <v/>
      </c>
      <c r="Q5" s="102" t="inlineStr">
        <is>
          <t>2025-01-01</t>
        </is>
      </c>
      <c r="R5" s="102" t="inlineStr">
        <is>
          <t>2025-01-19</t>
        </is>
      </c>
      <c r="S5" s="102" t="inlineStr">
        <is>
          <t>Marketing Leaders</t>
        </is>
      </c>
      <c r="T5" s="102" t="inlineStr">
        <is>
          <t>Completed</t>
        </is>
      </c>
      <c r="U5" s="102" t="inlineStr">
        <is>
          <t>Product Launch campaign - Marketing Leaders</t>
        </is>
      </c>
    </row>
    <row r="6" ht="15" customHeight="1" s="66">
      <c r="A6" s="94" t="inlineStr">
        <is>
          <t>CAMP-2025005</t>
        </is>
      </c>
      <c r="B6" s="94" t="inlineStr">
        <is>
          <t>SEO/Organic - Nurture - Q2 Epsilon</t>
        </is>
      </c>
      <c r="C6" s="94" t="inlineStr">
        <is>
          <t>SEO/Organic</t>
        </is>
      </c>
      <c r="D6" s="94" t="inlineStr">
        <is>
          <t>Nurture</t>
        </is>
      </c>
      <c r="E6" s="94" t="inlineStr">
        <is>
          <t>Q2</t>
        </is>
      </c>
      <c r="F6" s="95" t="n">
        <v>48000</v>
      </c>
      <c r="G6" s="95" t="n">
        <v>120286</v>
      </c>
      <c r="H6" s="97" t="n">
        <v>1464</v>
      </c>
      <c r="I6" s="97" t="n">
        <v>261</v>
      </c>
      <c r="J6" s="97" t="n">
        <v>0</v>
      </c>
      <c r="K6" s="97" t="n">
        <v>0</v>
      </c>
      <c r="L6" s="99">
        <f>IFERROR(J6/K6,0)</f>
        <v/>
      </c>
      <c r="M6" s="100">
        <f>IFERROR(F6/J6,0)</f>
        <v/>
      </c>
      <c r="N6" s="95">
        <f>IFERROR(F6/I6,0)</f>
        <v/>
      </c>
      <c r="O6" s="98">
        <f>IFERROR((G6-F6)/F6,0)</f>
        <v/>
      </c>
      <c r="P6" s="98">
        <f>IFERROR(I6/H6,0)</f>
        <v/>
      </c>
      <c r="Q6" s="94" t="inlineStr">
        <is>
          <t>2025-03-29</t>
        </is>
      </c>
      <c r="R6" s="94" t="inlineStr">
        <is>
          <t>2025-05-17</t>
        </is>
      </c>
      <c r="S6" s="94" t="inlineStr">
        <is>
          <t>Finance Teams</t>
        </is>
      </c>
      <c r="T6" s="94" t="inlineStr">
        <is>
          <t>Active</t>
        </is>
      </c>
      <c r="U6" s="94" t="inlineStr">
        <is>
          <t>Nurture campaign - Finance Teams</t>
        </is>
      </c>
    </row>
    <row r="7" ht="15" customHeight="1" s="66">
      <c r="A7" s="102" t="inlineStr">
        <is>
          <t>CAMP-2025006</t>
        </is>
      </c>
      <c r="B7" s="102" t="inlineStr">
        <is>
          <t>Content Marketing - Event Promo - Q2 Alpha</t>
        </is>
      </c>
      <c r="C7" s="102" t="inlineStr">
        <is>
          <t>Content Marketing</t>
        </is>
      </c>
      <c r="D7" s="102" t="inlineStr">
        <is>
          <t>Event Promo</t>
        </is>
      </c>
      <c r="E7" s="102" t="inlineStr">
        <is>
          <t>Q2</t>
        </is>
      </c>
      <c r="F7" s="103" t="n">
        <v>19000</v>
      </c>
      <c r="G7" s="103" t="n">
        <v>30238</v>
      </c>
      <c r="H7" s="105" t="n">
        <v>937</v>
      </c>
      <c r="I7" s="105" t="n">
        <v>159</v>
      </c>
      <c r="J7" s="105" t="n">
        <v>0</v>
      </c>
      <c r="K7" s="105" t="n">
        <v>0</v>
      </c>
      <c r="L7" s="107">
        <f>IFERROR(J7/K7,0)</f>
        <v/>
      </c>
      <c r="M7" s="108">
        <f>IFERROR(F7/J7,0)</f>
        <v/>
      </c>
      <c r="N7" s="103">
        <f>IFERROR(F7/I7,0)</f>
        <v/>
      </c>
      <c r="O7" s="106">
        <f>IFERROR((G7-F7)/F7,0)</f>
        <v/>
      </c>
      <c r="P7" s="106">
        <f>IFERROR(I7/H7,0)</f>
        <v/>
      </c>
      <c r="Q7" s="102" t="inlineStr">
        <is>
          <t>2025-02-04</t>
        </is>
      </c>
      <c r="R7" s="102" t="inlineStr">
        <is>
          <t>2025-02-23</t>
        </is>
      </c>
      <c r="S7" s="102" t="inlineStr">
        <is>
          <t>E-commerce</t>
        </is>
      </c>
      <c r="T7" s="102" t="inlineStr">
        <is>
          <t>Completed</t>
        </is>
      </c>
      <c r="U7" s="102" t="inlineStr">
        <is>
          <t>Event Promo campaign - E-commerce</t>
        </is>
      </c>
    </row>
    <row r="8" ht="15" customHeight="1" s="66">
      <c r="A8" s="94" t="inlineStr">
        <is>
          <t>CAMP-2025007</t>
        </is>
      </c>
      <c r="B8" s="94" t="inlineStr">
        <is>
          <t>Affiliate - Seasonal - Q3 Beta</t>
        </is>
      </c>
      <c r="C8" s="94" t="inlineStr">
        <is>
          <t>Affiliate</t>
        </is>
      </c>
      <c r="D8" s="94" t="inlineStr">
        <is>
          <t>Seasonal</t>
        </is>
      </c>
      <c r="E8" s="94" t="inlineStr">
        <is>
          <t>Q3</t>
        </is>
      </c>
      <c r="F8" s="95" t="n">
        <v>6000</v>
      </c>
      <c r="G8" s="95" t="n">
        <v>17633</v>
      </c>
      <c r="H8" s="97" t="n">
        <v>138</v>
      </c>
      <c r="I8" s="97" t="n">
        <v>16</v>
      </c>
      <c r="J8" s="97" t="n">
        <v>5101</v>
      </c>
      <c r="K8" s="97" t="n">
        <v>91466</v>
      </c>
      <c r="L8" s="99">
        <f>IFERROR(J8/K8,0)</f>
        <v/>
      </c>
      <c r="M8" s="100">
        <f>IFERROR(F8/J8,0)</f>
        <v/>
      </c>
      <c r="N8" s="95">
        <f>IFERROR(F8/I8,0)</f>
        <v/>
      </c>
      <c r="O8" s="98">
        <f>IFERROR((G8-F8)/F8,0)</f>
        <v/>
      </c>
      <c r="P8" s="98">
        <f>IFERROR(I8/H8,0)</f>
        <v/>
      </c>
      <c r="Q8" s="94" t="inlineStr">
        <is>
          <t>2025-12-02</t>
        </is>
      </c>
      <c r="R8" s="94" t="inlineStr">
        <is>
          <t>2026-02-12</t>
        </is>
      </c>
      <c r="S8" s="94" t="inlineStr">
        <is>
          <t>Tech Startups</t>
        </is>
      </c>
      <c r="T8" s="94" t="inlineStr">
        <is>
          <t>Active</t>
        </is>
      </c>
      <c r="U8" s="94" t="inlineStr">
        <is>
          <t>Seasonal campaign - Tech Startups</t>
        </is>
      </c>
    </row>
    <row r="9" ht="15" customHeight="1" s="66">
      <c r="A9" s="102" t="inlineStr">
        <is>
          <t>CAMP-2025008</t>
        </is>
      </c>
      <c r="B9" s="102" t="inlineStr">
        <is>
          <t>Influencer - Upsell - Q3 Gamma</t>
        </is>
      </c>
      <c r="C9" s="102" t="inlineStr">
        <is>
          <t>Influencer</t>
        </is>
      </c>
      <c r="D9" s="102" t="inlineStr">
        <is>
          <t>Upsell</t>
        </is>
      </c>
      <c r="E9" s="102" t="inlineStr">
        <is>
          <t>Q3</t>
        </is>
      </c>
      <c r="F9" s="103" t="n">
        <v>48000</v>
      </c>
      <c r="G9" s="103" t="n">
        <v>159876</v>
      </c>
      <c r="H9" s="105" t="n">
        <v>1059</v>
      </c>
      <c r="I9" s="105" t="n">
        <v>147</v>
      </c>
      <c r="J9" s="105" t="n">
        <v>29899</v>
      </c>
      <c r="K9" s="105" t="n">
        <v>1175421</v>
      </c>
      <c r="L9" s="107">
        <f>IFERROR(J9/K9,0)</f>
        <v/>
      </c>
      <c r="M9" s="108">
        <f>IFERROR(F9/J9,0)</f>
        <v/>
      </c>
      <c r="N9" s="103">
        <f>IFERROR(F9/I9,0)</f>
        <v/>
      </c>
      <c r="O9" s="106">
        <f>IFERROR((G9-F9)/F9,0)</f>
        <v/>
      </c>
      <c r="P9" s="106">
        <f>IFERROR(I9/H9,0)</f>
        <v/>
      </c>
      <c r="Q9" s="102" t="inlineStr">
        <is>
          <t>2025-05-22</t>
        </is>
      </c>
      <c r="R9" s="102" t="inlineStr">
        <is>
          <t>2025-08-10</t>
        </is>
      </c>
      <c r="S9" s="102" t="inlineStr">
        <is>
          <t>Healthcare</t>
        </is>
      </c>
      <c r="T9" s="102" t="inlineStr">
        <is>
          <t>Active</t>
        </is>
      </c>
      <c r="U9" s="102" t="inlineStr">
        <is>
          <t>Upsell campaign - Healthcare</t>
        </is>
      </c>
    </row>
    <row r="10" ht="15" customHeight="1" s="66">
      <c r="A10" s="94" t="inlineStr">
        <is>
          <t>CAMP-2025009</t>
        </is>
      </c>
      <c r="B10" s="94" t="inlineStr">
        <is>
          <t>YouTube Ads - Cross-sell - Q3 Delta</t>
        </is>
      </c>
      <c r="C10" s="94" t="inlineStr">
        <is>
          <t>YouTube Ads</t>
        </is>
      </c>
      <c r="D10" s="94" t="inlineStr">
        <is>
          <t>Cross-sell</t>
        </is>
      </c>
      <c r="E10" s="94" t="inlineStr">
        <is>
          <t>Q3</t>
        </is>
      </c>
      <c r="F10" s="95" t="n">
        <v>23000</v>
      </c>
      <c r="G10" s="95" t="n">
        <v>47424</v>
      </c>
      <c r="H10" s="97" t="n">
        <v>387</v>
      </c>
      <c r="I10" s="97" t="n">
        <v>80</v>
      </c>
      <c r="J10" s="97" t="n">
        <v>7804</v>
      </c>
      <c r="K10" s="97" t="n">
        <v>180975</v>
      </c>
      <c r="L10" s="99">
        <f>IFERROR(J10/K10,0)</f>
        <v/>
      </c>
      <c r="M10" s="100">
        <f>IFERROR(F10/J10,0)</f>
        <v/>
      </c>
      <c r="N10" s="95">
        <f>IFERROR(F10/I10,0)</f>
        <v/>
      </c>
      <c r="O10" s="98">
        <f>IFERROR((G10-F10)/F10,0)</f>
        <v/>
      </c>
      <c r="P10" s="98">
        <f>IFERROR(I10/H10,0)</f>
        <v/>
      </c>
      <c r="Q10" s="94" t="inlineStr">
        <is>
          <t>2025-06-08</t>
        </is>
      </c>
      <c r="R10" s="94" t="inlineStr">
        <is>
          <t>2025-06-28</t>
        </is>
      </c>
      <c r="S10" s="94" t="inlineStr">
        <is>
          <t>Retail</t>
        </is>
      </c>
      <c r="T10" s="94" t="inlineStr">
        <is>
          <t>Completed</t>
        </is>
      </c>
      <c r="U10" s="94" t="inlineStr">
        <is>
          <t>Cross-sell campaign - Retail</t>
        </is>
      </c>
    </row>
    <row r="11" ht="15" customHeight="1" s="66">
      <c r="A11" s="102" t="inlineStr">
        <is>
          <t>CAMP-2025010</t>
        </is>
      </c>
      <c r="B11" s="102" t="inlineStr">
        <is>
          <t>Twitter/X Ads - Winback - Q4 Epsilon</t>
        </is>
      </c>
      <c r="C11" s="102" t="inlineStr">
        <is>
          <t>Twitter/X Ads</t>
        </is>
      </c>
      <c r="D11" s="102" t="inlineStr">
        <is>
          <t>Winback</t>
        </is>
      </c>
      <c r="E11" s="102" t="inlineStr">
        <is>
          <t>Q4</t>
        </is>
      </c>
      <c r="F11" s="103" t="n">
        <v>50000</v>
      </c>
      <c r="G11" s="103" t="n">
        <v>90481</v>
      </c>
      <c r="H11" s="105" t="n">
        <v>1771</v>
      </c>
      <c r="I11" s="105" t="n">
        <v>279</v>
      </c>
      <c r="J11" s="105" t="n">
        <v>15138</v>
      </c>
      <c r="K11" s="105" t="n">
        <v>246302</v>
      </c>
      <c r="L11" s="107">
        <f>IFERROR(J11/K11,0)</f>
        <v/>
      </c>
      <c r="M11" s="108">
        <f>IFERROR(F11/J11,0)</f>
        <v/>
      </c>
      <c r="N11" s="103">
        <f>IFERROR(F11/I11,0)</f>
        <v/>
      </c>
      <c r="O11" s="106">
        <f>IFERROR((G11-F11)/F11,0)</f>
        <v/>
      </c>
      <c r="P11" s="106">
        <f>IFERROR(I11/H11,0)</f>
        <v/>
      </c>
      <c r="Q11" s="102" t="inlineStr">
        <is>
          <t>2025-04-24</t>
        </is>
      </c>
      <c r="R11" s="102" t="inlineStr">
        <is>
          <t>2025-06-21</t>
        </is>
      </c>
      <c r="S11" s="102" t="inlineStr">
        <is>
          <t>SaaS Companies</t>
        </is>
      </c>
      <c r="T11" s="102" t="inlineStr">
        <is>
          <t>Planning</t>
        </is>
      </c>
      <c r="U11" s="102" t="inlineStr">
        <is>
          <t>Winback campaign - SaaS Companies</t>
        </is>
      </c>
    </row>
    <row r="12" ht="15" customHeight="1" s="66">
      <c r="A12" s="94" t="inlineStr">
        <is>
          <t>CAMP-2025011</t>
        </is>
      </c>
      <c r="B12" s="94" t="inlineStr">
        <is>
          <t>TikTok Ads - Brand Awareness - Q4 Alpha</t>
        </is>
      </c>
      <c r="C12" s="94" t="inlineStr">
        <is>
          <t>TikTok Ads</t>
        </is>
      </c>
      <c r="D12" s="94" t="inlineStr">
        <is>
          <t>Brand Awareness</t>
        </is>
      </c>
      <c r="E12" s="94" t="inlineStr">
        <is>
          <t>Q4</t>
        </is>
      </c>
      <c r="F12" s="95" t="n">
        <v>51000</v>
      </c>
      <c r="G12" s="95" t="n">
        <v>141986</v>
      </c>
      <c r="H12" s="97" t="n">
        <v>1007</v>
      </c>
      <c r="I12" s="97" t="n">
        <v>82</v>
      </c>
      <c r="J12" s="97" t="n">
        <v>47520</v>
      </c>
      <c r="K12" s="97" t="n">
        <v>738671</v>
      </c>
      <c r="L12" s="99">
        <f>IFERROR(J12/K12,0)</f>
        <v/>
      </c>
      <c r="M12" s="100">
        <f>IFERROR(F12/J12,0)</f>
        <v/>
      </c>
      <c r="N12" s="95">
        <f>IFERROR(F12/I12,0)</f>
        <v/>
      </c>
      <c r="O12" s="98">
        <f>IFERROR((G12-F12)/F12,0)</f>
        <v/>
      </c>
      <c r="P12" s="98">
        <f>IFERROR(I12/H12,0)</f>
        <v/>
      </c>
      <c r="Q12" s="94" t="inlineStr">
        <is>
          <t>2025-02-13</t>
        </is>
      </c>
      <c r="R12" s="94" t="inlineStr">
        <is>
          <t>2025-05-10</t>
        </is>
      </c>
      <c r="S12" s="94" t="inlineStr">
        <is>
          <t>B2B Executives</t>
        </is>
      </c>
      <c r="T12" s="94" t="inlineStr">
        <is>
          <t>Completed</t>
        </is>
      </c>
      <c r="U12" s="94" t="inlineStr">
        <is>
          <t>Brand Awareness campaign - B2B Executives</t>
        </is>
      </c>
    </row>
    <row r="13" ht="15" customHeight="1" s="66">
      <c r="A13" s="102" t="inlineStr">
        <is>
          <t>CAMP-2025012</t>
        </is>
      </c>
      <c r="B13" s="102" t="inlineStr">
        <is>
          <t>Display/Banner - Lead Gen - Q4 Beta</t>
        </is>
      </c>
      <c r="C13" s="102" t="inlineStr">
        <is>
          <t>Display/Banner</t>
        </is>
      </c>
      <c r="D13" s="102" t="inlineStr">
        <is>
          <t>Lead Gen</t>
        </is>
      </c>
      <c r="E13" s="102" t="inlineStr">
        <is>
          <t>Q4</t>
        </is>
      </c>
      <c r="F13" s="103" t="n">
        <v>64000</v>
      </c>
      <c r="G13" s="103" t="n">
        <v>199273</v>
      </c>
      <c r="H13" s="105" t="n">
        <v>1462</v>
      </c>
      <c r="I13" s="105" t="n">
        <v>171</v>
      </c>
      <c r="J13" s="105" t="n">
        <v>24576</v>
      </c>
      <c r="K13" s="105" t="n">
        <v>345683</v>
      </c>
      <c r="L13" s="107">
        <f>IFERROR(J13/K13,0)</f>
        <v/>
      </c>
      <c r="M13" s="108">
        <f>IFERROR(F13/J13,0)</f>
        <v/>
      </c>
      <c r="N13" s="103">
        <f>IFERROR(F13/I13,0)</f>
        <v/>
      </c>
      <c r="O13" s="106">
        <f>IFERROR((G13-F13)/F13,0)</f>
        <v/>
      </c>
      <c r="P13" s="106">
        <f>IFERROR(I13/H13,0)</f>
        <v/>
      </c>
      <c r="Q13" s="102" t="inlineStr">
        <is>
          <t>2025-11-03</t>
        </is>
      </c>
      <c r="R13" s="102" t="inlineStr">
        <is>
          <t>2026-01-04</t>
        </is>
      </c>
      <c r="S13" s="102" t="inlineStr">
        <is>
          <t>SMB Owners</t>
        </is>
      </c>
      <c r="T13" s="102" t="inlineStr">
        <is>
          <t>Planning</t>
        </is>
      </c>
      <c r="U13" s="102" t="inlineStr">
        <is>
          <t>Lead Gen campaign - SMB Owners</t>
        </is>
      </c>
    </row>
    <row r="14" ht="15" customHeight="1" s="66">
      <c r="A14" s="94" t="inlineStr">
        <is>
          <t>CAMP-2025013</t>
        </is>
      </c>
      <c r="B14" s="94" t="inlineStr">
        <is>
          <t>Podcast Ads - Retargeting - Q1 Gamma</t>
        </is>
      </c>
      <c r="C14" s="94" t="inlineStr">
        <is>
          <t>Podcast Ads</t>
        </is>
      </c>
      <c r="D14" s="94" t="inlineStr">
        <is>
          <t>Retargeting</t>
        </is>
      </c>
      <c r="E14" s="94" t="inlineStr">
        <is>
          <t>Q1</t>
        </is>
      </c>
      <c r="F14" s="95" t="n">
        <v>24000</v>
      </c>
      <c r="G14" s="95" t="n">
        <v>58170</v>
      </c>
      <c r="H14" s="97" t="n">
        <v>580</v>
      </c>
      <c r="I14" s="97" t="n">
        <v>130</v>
      </c>
      <c r="J14" s="97" t="n">
        <v>7100</v>
      </c>
      <c r="K14" s="97" t="n">
        <v>396578</v>
      </c>
      <c r="L14" s="99">
        <f>IFERROR(J14/K14,0)</f>
        <v/>
      </c>
      <c r="M14" s="100">
        <f>IFERROR(F14/J14,0)</f>
        <v/>
      </c>
      <c r="N14" s="95">
        <f>IFERROR(F14/I14,0)</f>
        <v/>
      </c>
      <c r="O14" s="98">
        <f>IFERROR((G14-F14)/F14,0)</f>
        <v/>
      </c>
      <c r="P14" s="98">
        <f>IFERROR(I14/H14,0)</f>
        <v/>
      </c>
      <c r="Q14" s="94" t="inlineStr">
        <is>
          <t>2025-11-01</t>
        </is>
      </c>
      <c r="R14" s="94" t="inlineStr">
        <is>
          <t>2026-01-07</t>
        </is>
      </c>
      <c r="S14" s="94" t="inlineStr">
        <is>
          <t>Enterprise IT</t>
        </is>
      </c>
      <c r="T14" s="94" t="inlineStr">
        <is>
          <t>Planning</t>
        </is>
      </c>
      <c r="U14" s="94" t="inlineStr">
        <is>
          <t>Retargeting campaign - Enterprise IT</t>
        </is>
      </c>
    </row>
    <row r="15" ht="15" customHeight="1" s="66">
      <c r="A15" s="102" t="inlineStr">
        <is>
          <t>CAMP-2025014</t>
        </is>
      </c>
      <c r="B15" s="102" t="inlineStr">
        <is>
          <t>Webinars - Product Launch - Q1 Delta</t>
        </is>
      </c>
      <c r="C15" s="102" t="inlineStr">
        <is>
          <t>Webinars</t>
        </is>
      </c>
      <c r="D15" s="102" t="inlineStr">
        <is>
          <t>Product Launch</t>
        </is>
      </c>
      <c r="E15" s="102" t="inlineStr">
        <is>
          <t>Q1</t>
        </is>
      </c>
      <c r="F15" s="103" t="n">
        <v>50000</v>
      </c>
      <c r="G15" s="103" t="n">
        <v>138454</v>
      </c>
      <c r="H15" s="105" t="n">
        <v>1455</v>
      </c>
      <c r="I15" s="105" t="n">
        <v>218</v>
      </c>
      <c r="J15" s="105" t="n">
        <v>25383</v>
      </c>
      <c r="K15" s="105" t="n">
        <v>935845</v>
      </c>
      <c r="L15" s="107">
        <f>IFERROR(J15/K15,0)</f>
        <v/>
      </c>
      <c r="M15" s="108">
        <f>IFERROR(F15/J15,0)</f>
        <v/>
      </c>
      <c r="N15" s="103">
        <f>IFERROR(F15/I15,0)</f>
        <v/>
      </c>
      <c r="O15" s="106">
        <f>IFERROR((G15-F15)/F15,0)</f>
        <v/>
      </c>
      <c r="P15" s="106">
        <f>IFERROR(I15/H15,0)</f>
        <v/>
      </c>
      <c r="Q15" s="102" t="inlineStr">
        <is>
          <t>2025-06-21</t>
        </is>
      </c>
      <c r="R15" s="102" t="inlineStr">
        <is>
          <t>2025-08-09</t>
        </is>
      </c>
      <c r="S15" s="102" t="inlineStr">
        <is>
          <t>Marketing Leaders</t>
        </is>
      </c>
      <c r="T15" s="102" t="inlineStr">
        <is>
          <t>Active</t>
        </is>
      </c>
      <c r="U15" s="102" t="inlineStr">
        <is>
          <t>Product Launch campaign - Marketing Leaders</t>
        </is>
      </c>
    </row>
    <row r="16" ht="15" customHeight="1" s="66">
      <c r="A16" s="94" t="inlineStr">
        <is>
          <t>CAMP-2025015</t>
        </is>
      </c>
      <c r="B16" s="94" t="inlineStr">
        <is>
          <t>Google Ads - Nurture - Q1 Epsilon</t>
        </is>
      </c>
      <c r="C16" s="94" t="inlineStr">
        <is>
          <t>Google Ads</t>
        </is>
      </c>
      <c r="D16" s="94" t="inlineStr">
        <is>
          <t>Nurture</t>
        </is>
      </c>
      <c r="E16" s="94" t="inlineStr">
        <is>
          <t>Q1</t>
        </is>
      </c>
      <c r="F16" s="95" t="n">
        <v>38000</v>
      </c>
      <c r="G16" s="95" t="n">
        <v>71818</v>
      </c>
      <c r="H16" s="97" t="n">
        <v>793</v>
      </c>
      <c r="I16" s="97" t="n">
        <v>158</v>
      </c>
      <c r="J16" s="97" t="n">
        <v>21389</v>
      </c>
      <c r="K16" s="97" t="n">
        <v>337553</v>
      </c>
      <c r="L16" s="99">
        <f>IFERROR(J16/K16,0)</f>
        <v/>
      </c>
      <c r="M16" s="100">
        <f>IFERROR(F16/J16,0)</f>
        <v/>
      </c>
      <c r="N16" s="95">
        <f>IFERROR(F16/I16,0)</f>
        <v/>
      </c>
      <c r="O16" s="98">
        <f>IFERROR((G16-F16)/F16,0)</f>
        <v/>
      </c>
      <c r="P16" s="98">
        <f>IFERROR(I16/H16,0)</f>
        <v/>
      </c>
      <c r="Q16" s="94" t="inlineStr">
        <is>
          <t>2025-09-12</t>
        </is>
      </c>
      <c r="R16" s="94" t="inlineStr">
        <is>
          <t>2025-10-01</t>
        </is>
      </c>
      <c r="S16" s="94" t="inlineStr">
        <is>
          <t>Finance Teams</t>
        </is>
      </c>
      <c r="T16" s="94" t="inlineStr">
        <is>
          <t>Active</t>
        </is>
      </c>
      <c r="U16" s="94" t="inlineStr">
        <is>
          <t>Nurture campaign - Finance Teams</t>
        </is>
      </c>
    </row>
    <row r="17" ht="15" customHeight="1" s="66">
      <c r="A17" s="102" t="inlineStr">
        <is>
          <t>CAMP-2025016</t>
        </is>
      </c>
      <c r="B17" s="102" t="inlineStr">
        <is>
          <t>Facebook Ads - Event Promo - Q2 Alpha</t>
        </is>
      </c>
      <c r="C17" s="102" t="inlineStr">
        <is>
          <t>Facebook Ads</t>
        </is>
      </c>
      <c r="D17" s="102" t="inlineStr">
        <is>
          <t>Event Promo</t>
        </is>
      </c>
      <c r="E17" s="102" t="inlineStr">
        <is>
          <t>Q2</t>
        </is>
      </c>
      <c r="F17" s="103" t="n">
        <v>9000</v>
      </c>
      <c r="G17" s="103" t="n">
        <v>22894</v>
      </c>
      <c r="H17" s="105" t="n">
        <v>186</v>
      </c>
      <c r="I17" s="105" t="n">
        <v>44</v>
      </c>
      <c r="J17" s="105" t="n">
        <v>2732</v>
      </c>
      <c r="K17" s="105" t="n">
        <v>36056</v>
      </c>
      <c r="L17" s="107">
        <f>IFERROR(J17/K17,0)</f>
        <v/>
      </c>
      <c r="M17" s="108">
        <f>IFERROR(F17/J17,0)</f>
        <v/>
      </c>
      <c r="N17" s="103">
        <f>IFERROR(F17/I17,0)</f>
        <v/>
      </c>
      <c r="O17" s="106">
        <f>IFERROR((G17-F17)/F17,0)</f>
        <v/>
      </c>
      <c r="P17" s="106">
        <f>IFERROR(I17/H17,0)</f>
        <v/>
      </c>
      <c r="Q17" s="102" t="inlineStr">
        <is>
          <t>2025-09-17</t>
        </is>
      </c>
      <c r="R17" s="102" t="inlineStr">
        <is>
          <t>2025-10-20</t>
        </is>
      </c>
      <c r="S17" s="102" t="inlineStr">
        <is>
          <t>E-commerce</t>
        </is>
      </c>
      <c r="T17" s="102" t="inlineStr">
        <is>
          <t>Active</t>
        </is>
      </c>
      <c r="U17" s="102" t="inlineStr">
        <is>
          <t>Event Promo campaign - E-commerce</t>
        </is>
      </c>
    </row>
    <row r="18" ht="15" customHeight="1" s="66">
      <c r="A18" s="94" t="inlineStr">
        <is>
          <t>CAMP-2025017</t>
        </is>
      </c>
      <c r="B18" s="94" t="inlineStr">
        <is>
          <t>LinkedIn Ads - Seasonal - Q2 Beta</t>
        </is>
      </c>
      <c r="C18" s="94" t="inlineStr">
        <is>
          <t>LinkedIn Ads</t>
        </is>
      </c>
      <c r="D18" s="94" t="inlineStr">
        <is>
          <t>Seasonal</t>
        </is>
      </c>
      <c r="E18" s="94" t="inlineStr">
        <is>
          <t>Q2</t>
        </is>
      </c>
      <c r="F18" s="95" t="n">
        <v>54000</v>
      </c>
      <c r="G18" s="95" t="n">
        <v>123827</v>
      </c>
      <c r="H18" s="97" t="n">
        <v>1279</v>
      </c>
      <c r="I18" s="97" t="n">
        <v>134</v>
      </c>
      <c r="J18" s="97" t="n">
        <v>27074</v>
      </c>
      <c r="K18" s="97" t="n">
        <v>439613</v>
      </c>
      <c r="L18" s="99">
        <f>IFERROR(J18/K18,0)</f>
        <v/>
      </c>
      <c r="M18" s="100">
        <f>IFERROR(F18/J18,0)</f>
        <v/>
      </c>
      <c r="N18" s="95">
        <f>IFERROR(F18/I18,0)</f>
        <v/>
      </c>
      <c r="O18" s="98">
        <f>IFERROR((G18-F18)/F18,0)</f>
        <v/>
      </c>
      <c r="P18" s="98">
        <f>IFERROR(I18/H18,0)</f>
        <v/>
      </c>
      <c r="Q18" s="94" t="inlineStr">
        <is>
          <t>2025-01-18</t>
        </is>
      </c>
      <c r="R18" s="94" t="inlineStr">
        <is>
          <t>2025-04-05</t>
        </is>
      </c>
      <c r="S18" s="94" t="inlineStr">
        <is>
          <t>Tech Startups</t>
        </is>
      </c>
      <c r="T18" s="94" t="inlineStr">
        <is>
          <t>Active</t>
        </is>
      </c>
      <c r="U18" s="94" t="inlineStr">
        <is>
          <t>Seasonal campaign - Tech Startups</t>
        </is>
      </c>
    </row>
    <row r="19" ht="15" customHeight="1" s="66">
      <c r="A19" s="102" t="inlineStr">
        <is>
          <t>CAMP-2025018</t>
        </is>
      </c>
      <c r="B19" s="102" t="inlineStr">
        <is>
          <t>Email Marketing - Upsell - Q2 Gamma</t>
        </is>
      </c>
      <c r="C19" s="102" t="inlineStr">
        <is>
          <t>Email Marketing</t>
        </is>
      </c>
      <c r="D19" s="102" t="inlineStr">
        <is>
          <t>Upsell</t>
        </is>
      </c>
      <c r="E19" s="102" t="inlineStr">
        <is>
          <t>Q2</t>
        </is>
      </c>
      <c r="F19" s="103" t="n">
        <v>5000</v>
      </c>
      <c r="G19" s="103" t="n">
        <v>10134</v>
      </c>
      <c r="H19" s="105" t="n">
        <v>88</v>
      </c>
      <c r="I19" s="105" t="n">
        <v>14</v>
      </c>
      <c r="J19" s="105" t="n">
        <v>0</v>
      </c>
      <c r="K19" s="105" t="n">
        <v>0</v>
      </c>
      <c r="L19" s="107">
        <f>IFERROR(J19/K19,0)</f>
        <v/>
      </c>
      <c r="M19" s="108">
        <f>IFERROR(F19/J19,0)</f>
        <v/>
      </c>
      <c r="N19" s="103">
        <f>IFERROR(F19/I19,0)</f>
        <v/>
      </c>
      <c r="O19" s="106">
        <f>IFERROR((G19-F19)/F19,0)</f>
        <v/>
      </c>
      <c r="P19" s="106">
        <f>IFERROR(I19/H19,0)</f>
        <v/>
      </c>
      <c r="Q19" s="102" t="inlineStr">
        <is>
          <t>2025-06-22</t>
        </is>
      </c>
      <c r="R19" s="102" t="inlineStr">
        <is>
          <t>2025-09-12</t>
        </is>
      </c>
      <c r="S19" s="102" t="inlineStr">
        <is>
          <t>Healthcare</t>
        </is>
      </c>
      <c r="T19" s="102" t="inlineStr">
        <is>
          <t>Completed</t>
        </is>
      </c>
      <c r="U19" s="102" t="inlineStr">
        <is>
          <t>Upsell campaign - Healthcare</t>
        </is>
      </c>
    </row>
    <row r="20" ht="15" customHeight="1" s="66">
      <c r="A20" s="94" t="inlineStr">
        <is>
          <t>CAMP-2025019</t>
        </is>
      </c>
      <c r="B20" s="94" t="inlineStr">
        <is>
          <t>SEO/Organic - Cross-sell - Q3 Delta</t>
        </is>
      </c>
      <c r="C20" s="94" t="inlineStr">
        <is>
          <t>SEO/Organic</t>
        </is>
      </c>
      <c r="D20" s="94" t="inlineStr">
        <is>
          <t>Cross-sell</t>
        </is>
      </c>
      <c r="E20" s="94" t="inlineStr">
        <is>
          <t>Q3</t>
        </is>
      </c>
      <c r="F20" s="95" t="n">
        <v>24000</v>
      </c>
      <c r="G20" s="95" t="n">
        <v>63309</v>
      </c>
      <c r="H20" s="97" t="n">
        <v>529</v>
      </c>
      <c r="I20" s="97" t="n">
        <v>105</v>
      </c>
      <c r="J20" s="97" t="n">
        <v>0</v>
      </c>
      <c r="K20" s="97" t="n">
        <v>0</v>
      </c>
      <c r="L20" s="99">
        <f>IFERROR(J20/K20,0)</f>
        <v/>
      </c>
      <c r="M20" s="100">
        <f>IFERROR(F20/J20,0)</f>
        <v/>
      </c>
      <c r="N20" s="95">
        <f>IFERROR(F20/I20,0)</f>
        <v/>
      </c>
      <c r="O20" s="98">
        <f>IFERROR((G20-F20)/F20,0)</f>
        <v/>
      </c>
      <c r="P20" s="98">
        <f>IFERROR(I20/H20,0)</f>
        <v/>
      </c>
      <c r="Q20" s="94" t="inlineStr">
        <is>
          <t>2025-07-03</t>
        </is>
      </c>
      <c r="R20" s="94" t="inlineStr">
        <is>
          <t>2025-08-22</t>
        </is>
      </c>
      <c r="S20" s="94" t="inlineStr">
        <is>
          <t>Retail</t>
        </is>
      </c>
      <c r="T20" s="94" t="inlineStr">
        <is>
          <t>Paused</t>
        </is>
      </c>
      <c r="U20" s="94" t="inlineStr">
        <is>
          <t>Cross-sell campaign - Retail</t>
        </is>
      </c>
    </row>
    <row r="21" ht="15" customHeight="1" s="66">
      <c r="A21" s="102" t="inlineStr">
        <is>
          <t>CAMP-2025020</t>
        </is>
      </c>
      <c r="B21" s="102" t="inlineStr">
        <is>
          <t>Content Marketing - Winback - Q3 Epsilon</t>
        </is>
      </c>
      <c r="C21" s="102" t="inlineStr">
        <is>
          <t>Content Marketing</t>
        </is>
      </c>
      <c r="D21" s="102" t="inlineStr">
        <is>
          <t>Winback</t>
        </is>
      </c>
      <c r="E21" s="102" t="inlineStr">
        <is>
          <t>Q3</t>
        </is>
      </c>
      <c r="F21" s="103" t="n">
        <v>74000</v>
      </c>
      <c r="G21" s="103" t="n">
        <v>188060</v>
      </c>
      <c r="H21" s="105" t="n">
        <v>1374</v>
      </c>
      <c r="I21" s="105" t="n">
        <v>210</v>
      </c>
      <c r="J21" s="105" t="n">
        <v>0</v>
      </c>
      <c r="K21" s="105" t="n">
        <v>0</v>
      </c>
      <c r="L21" s="107">
        <f>IFERROR(J21/K21,0)</f>
        <v/>
      </c>
      <c r="M21" s="108">
        <f>IFERROR(F21/J21,0)</f>
        <v/>
      </c>
      <c r="N21" s="103">
        <f>IFERROR(F21/I21,0)</f>
        <v/>
      </c>
      <c r="O21" s="106">
        <f>IFERROR((G21-F21)/F21,0)</f>
        <v/>
      </c>
      <c r="P21" s="106">
        <f>IFERROR(I21/H21,0)</f>
        <v/>
      </c>
      <c r="Q21" s="102" t="inlineStr">
        <is>
          <t>2025-04-03</t>
        </is>
      </c>
      <c r="R21" s="102" t="inlineStr">
        <is>
          <t>2025-07-01</t>
        </is>
      </c>
      <c r="S21" s="102" t="inlineStr">
        <is>
          <t>SaaS Companies</t>
        </is>
      </c>
      <c r="T21" s="102" t="inlineStr">
        <is>
          <t>Paused</t>
        </is>
      </c>
      <c r="U21" s="102" t="inlineStr">
        <is>
          <t>Winback campaign - SaaS Companies</t>
        </is>
      </c>
    </row>
    <row r="22" ht="15" customHeight="1" s="66">
      <c r="A22" s="94" t="inlineStr">
        <is>
          <t>CAMP-2025021</t>
        </is>
      </c>
      <c r="B22" s="94" t="inlineStr">
        <is>
          <t>Affiliate - Brand Awareness - Q3 Alpha</t>
        </is>
      </c>
      <c r="C22" s="94" t="inlineStr">
        <is>
          <t>Affiliate</t>
        </is>
      </c>
      <c r="D22" s="94" t="inlineStr">
        <is>
          <t>Brand Awareness</t>
        </is>
      </c>
      <c r="E22" s="94" t="inlineStr">
        <is>
          <t>Q3</t>
        </is>
      </c>
      <c r="F22" s="95" t="n">
        <v>72000</v>
      </c>
      <c r="G22" s="95" t="n">
        <v>230475</v>
      </c>
      <c r="H22" s="97" t="n">
        <v>1812</v>
      </c>
      <c r="I22" s="97" t="n">
        <v>423</v>
      </c>
      <c r="J22" s="97" t="n">
        <v>35239</v>
      </c>
      <c r="K22" s="97" t="n">
        <v>513632</v>
      </c>
      <c r="L22" s="99">
        <f>IFERROR(J22/K22,0)</f>
        <v/>
      </c>
      <c r="M22" s="100">
        <f>IFERROR(F22/J22,0)</f>
        <v/>
      </c>
      <c r="N22" s="95">
        <f>IFERROR(F22/I22,0)</f>
        <v/>
      </c>
      <c r="O22" s="98">
        <f>IFERROR((G22-F22)/F22,0)</f>
        <v/>
      </c>
      <c r="P22" s="98">
        <f>IFERROR(I22/H22,0)</f>
        <v/>
      </c>
      <c r="Q22" s="94" t="inlineStr">
        <is>
          <t>2025-04-27</t>
        </is>
      </c>
      <c r="R22" s="94" t="inlineStr">
        <is>
          <t>2025-07-13</t>
        </is>
      </c>
      <c r="S22" s="94" t="inlineStr">
        <is>
          <t>B2B Executives</t>
        </is>
      </c>
      <c r="T22" s="94" t="inlineStr">
        <is>
          <t>Active</t>
        </is>
      </c>
      <c r="U22" s="94" t="inlineStr">
        <is>
          <t>Brand Awareness campaign - B2B Executives</t>
        </is>
      </c>
    </row>
    <row r="23" ht="15" customHeight="1" s="66">
      <c r="A23" s="102" t="inlineStr">
        <is>
          <t>CAMP-2025022</t>
        </is>
      </c>
      <c r="B23" s="102" t="inlineStr">
        <is>
          <t>Influencer - Lead Gen - Q4 Beta</t>
        </is>
      </c>
      <c r="C23" s="102" t="inlineStr">
        <is>
          <t>Influencer</t>
        </is>
      </c>
      <c r="D23" s="102" t="inlineStr">
        <is>
          <t>Lead Gen</t>
        </is>
      </c>
      <c r="E23" s="102" t="inlineStr">
        <is>
          <t>Q4</t>
        </is>
      </c>
      <c r="F23" s="103" t="n">
        <v>23000</v>
      </c>
      <c r="G23" s="103" t="n">
        <v>85083</v>
      </c>
      <c r="H23" s="105" t="n">
        <v>1309</v>
      </c>
      <c r="I23" s="105" t="n">
        <v>228</v>
      </c>
      <c r="J23" s="105" t="n">
        <v>10141</v>
      </c>
      <c r="K23" s="105" t="n">
        <v>378930</v>
      </c>
      <c r="L23" s="107">
        <f>IFERROR(J23/K23,0)</f>
        <v/>
      </c>
      <c r="M23" s="108">
        <f>IFERROR(F23/J23,0)</f>
        <v/>
      </c>
      <c r="N23" s="103">
        <f>IFERROR(F23/I23,0)</f>
        <v/>
      </c>
      <c r="O23" s="106">
        <f>IFERROR((G23-F23)/F23,0)</f>
        <v/>
      </c>
      <c r="P23" s="106">
        <f>IFERROR(I23/H23,0)</f>
        <v/>
      </c>
      <c r="Q23" s="102" t="inlineStr">
        <is>
          <t>2025-03-10</t>
        </is>
      </c>
      <c r="R23" s="102" t="inlineStr">
        <is>
          <t>2025-05-19</t>
        </is>
      </c>
      <c r="S23" s="102" t="inlineStr">
        <is>
          <t>SMB Owners</t>
        </is>
      </c>
      <c r="T23" s="102" t="inlineStr">
        <is>
          <t>Completed</t>
        </is>
      </c>
      <c r="U23" s="102" t="inlineStr">
        <is>
          <t>Lead Gen campaign - SMB Owners</t>
        </is>
      </c>
    </row>
    <row r="24" ht="15" customHeight="1" s="66">
      <c r="A24" s="94" t="inlineStr">
        <is>
          <t>CAMP-2025023</t>
        </is>
      </c>
      <c r="B24" s="94" t="inlineStr">
        <is>
          <t>YouTube Ads - Retargeting - Q4 Gamma</t>
        </is>
      </c>
      <c r="C24" s="94" t="inlineStr">
        <is>
          <t>YouTube Ads</t>
        </is>
      </c>
      <c r="D24" s="94" t="inlineStr">
        <is>
          <t>Retargeting</t>
        </is>
      </c>
      <c r="E24" s="94" t="inlineStr">
        <is>
          <t>Q4</t>
        </is>
      </c>
      <c r="F24" s="95" t="n">
        <v>67000</v>
      </c>
      <c r="G24" s="95" t="n">
        <v>261568</v>
      </c>
      <c r="H24" s="97" t="n">
        <v>1727</v>
      </c>
      <c r="I24" s="97" t="n">
        <v>368</v>
      </c>
      <c r="J24" s="97" t="n">
        <v>16432</v>
      </c>
      <c r="K24" s="97" t="n">
        <v>222979</v>
      </c>
      <c r="L24" s="99">
        <f>IFERROR(J24/K24,0)</f>
        <v/>
      </c>
      <c r="M24" s="100">
        <f>IFERROR(F24/J24,0)</f>
        <v/>
      </c>
      <c r="N24" s="95">
        <f>IFERROR(F24/I24,0)</f>
        <v/>
      </c>
      <c r="O24" s="98">
        <f>IFERROR((G24-F24)/F24,0)</f>
        <v/>
      </c>
      <c r="P24" s="98">
        <f>IFERROR(I24/H24,0)</f>
        <v/>
      </c>
      <c r="Q24" s="94" t="inlineStr">
        <is>
          <t>2025-06-22</t>
        </is>
      </c>
      <c r="R24" s="94" t="inlineStr">
        <is>
          <t>2025-08-10</t>
        </is>
      </c>
      <c r="S24" s="94" t="inlineStr">
        <is>
          <t>Enterprise IT</t>
        </is>
      </c>
      <c r="T24" s="94" t="inlineStr">
        <is>
          <t>Paused</t>
        </is>
      </c>
      <c r="U24" s="94" t="inlineStr">
        <is>
          <t>Retargeting campaign - Enterprise IT</t>
        </is>
      </c>
    </row>
    <row r="25" ht="15" customHeight="1" s="66">
      <c r="A25" s="102" t="inlineStr">
        <is>
          <t>CAMP-2025024</t>
        </is>
      </c>
      <c r="B25" s="102" t="inlineStr">
        <is>
          <t>Twitter/X Ads - Product Launch - Q4 Delta</t>
        </is>
      </c>
      <c r="C25" s="102" t="inlineStr">
        <is>
          <t>Twitter/X Ads</t>
        </is>
      </c>
      <c r="D25" s="102" t="inlineStr">
        <is>
          <t>Product Launch</t>
        </is>
      </c>
      <c r="E25" s="102" t="inlineStr">
        <is>
          <t>Q4</t>
        </is>
      </c>
      <c r="F25" s="103" t="n">
        <v>22000</v>
      </c>
      <c r="G25" s="103" t="n">
        <v>71571</v>
      </c>
      <c r="H25" s="105" t="n">
        <v>414</v>
      </c>
      <c r="I25" s="105" t="n">
        <v>96</v>
      </c>
      <c r="J25" s="105" t="n">
        <v>6407</v>
      </c>
      <c r="K25" s="105" t="n">
        <v>287034</v>
      </c>
      <c r="L25" s="107">
        <f>IFERROR(J25/K25,0)</f>
        <v/>
      </c>
      <c r="M25" s="108">
        <f>IFERROR(F25/J25,0)</f>
        <v/>
      </c>
      <c r="N25" s="103">
        <f>IFERROR(F25/I25,0)</f>
        <v/>
      </c>
      <c r="O25" s="106">
        <f>IFERROR((G25-F25)/F25,0)</f>
        <v/>
      </c>
      <c r="P25" s="106">
        <f>IFERROR(I25/H25,0)</f>
        <v/>
      </c>
      <c r="Q25" s="102" t="inlineStr">
        <is>
          <t>2025-04-08</t>
        </is>
      </c>
      <c r="R25" s="102" t="inlineStr">
        <is>
          <t>2025-06-16</t>
        </is>
      </c>
      <c r="S25" s="102" t="inlineStr">
        <is>
          <t>Marketing Leaders</t>
        </is>
      </c>
      <c r="T25" s="102" t="inlineStr">
        <is>
          <t>Completed</t>
        </is>
      </c>
      <c r="U25" s="102" t="inlineStr">
        <is>
          <t>Product Launch campaign - Marketing Leaders</t>
        </is>
      </c>
    </row>
    <row r="26" ht="15" customHeight="1" s="66">
      <c r="A26" s="94" t="inlineStr">
        <is>
          <t>CAMP-2025025</t>
        </is>
      </c>
      <c r="B26" s="94" t="inlineStr">
        <is>
          <t>TikTok Ads - Nurture - Q1 Epsilon</t>
        </is>
      </c>
      <c r="C26" s="94" t="inlineStr">
        <is>
          <t>TikTok Ads</t>
        </is>
      </c>
      <c r="D26" s="94" t="inlineStr">
        <is>
          <t>Nurture</t>
        </is>
      </c>
      <c r="E26" s="94" t="inlineStr">
        <is>
          <t>Q1</t>
        </is>
      </c>
      <c r="F26" s="95" t="n">
        <v>20000</v>
      </c>
      <c r="G26" s="95" t="n">
        <v>47840</v>
      </c>
      <c r="H26" s="97" t="n">
        <v>717</v>
      </c>
      <c r="I26" s="97" t="n">
        <v>85</v>
      </c>
      <c r="J26" s="97" t="n">
        <v>4538</v>
      </c>
      <c r="K26" s="97" t="n">
        <v>266060</v>
      </c>
      <c r="L26" s="99">
        <f>IFERROR(J26/K26,0)</f>
        <v/>
      </c>
      <c r="M26" s="100">
        <f>IFERROR(F26/J26,0)</f>
        <v/>
      </c>
      <c r="N26" s="95">
        <f>IFERROR(F26/I26,0)</f>
        <v/>
      </c>
      <c r="O26" s="98">
        <f>IFERROR((G26-F26)/F26,0)</f>
        <v/>
      </c>
      <c r="P26" s="98">
        <f>IFERROR(I26/H26,0)</f>
        <v/>
      </c>
      <c r="Q26" s="94" t="inlineStr">
        <is>
          <t>2025-05-20</t>
        </is>
      </c>
      <c r="R26" s="94" t="inlineStr">
        <is>
          <t>2025-06-07</t>
        </is>
      </c>
      <c r="S26" s="94" t="inlineStr">
        <is>
          <t>Finance Teams</t>
        </is>
      </c>
      <c r="T26" s="94" t="inlineStr">
        <is>
          <t>Active</t>
        </is>
      </c>
      <c r="U26" s="94" t="inlineStr">
        <is>
          <t>Nurture campaign - Finance Teams</t>
        </is>
      </c>
    </row>
    <row r="27" ht="15" customHeight="1" s="66">
      <c r="A27" s="102" t="inlineStr">
        <is>
          <t>CAMP-2025026</t>
        </is>
      </c>
      <c r="B27" s="102" t="inlineStr">
        <is>
          <t>Display/Banner - Event Promo - Q1 Alpha</t>
        </is>
      </c>
      <c r="C27" s="102" t="inlineStr">
        <is>
          <t>Display/Banner</t>
        </is>
      </c>
      <c r="D27" s="102" t="inlineStr">
        <is>
          <t>Event Promo</t>
        </is>
      </c>
      <c r="E27" s="102" t="inlineStr">
        <is>
          <t>Q1</t>
        </is>
      </c>
      <c r="F27" s="103" t="n">
        <v>27000</v>
      </c>
      <c r="G27" s="103" t="n">
        <v>51635</v>
      </c>
      <c r="H27" s="105" t="n">
        <v>626</v>
      </c>
      <c r="I27" s="105" t="n">
        <v>142</v>
      </c>
      <c r="J27" s="105" t="n">
        <v>7042</v>
      </c>
      <c r="K27" s="105" t="n">
        <v>144156</v>
      </c>
      <c r="L27" s="107">
        <f>IFERROR(J27/K27,0)</f>
        <v/>
      </c>
      <c r="M27" s="108">
        <f>IFERROR(F27/J27,0)</f>
        <v/>
      </c>
      <c r="N27" s="103">
        <f>IFERROR(F27/I27,0)</f>
        <v/>
      </c>
      <c r="O27" s="106">
        <f>IFERROR((G27-F27)/F27,0)</f>
        <v/>
      </c>
      <c r="P27" s="106">
        <f>IFERROR(I27/H27,0)</f>
        <v/>
      </c>
      <c r="Q27" s="102" t="inlineStr">
        <is>
          <t>2025-01-17</t>
        </is>
      </c>
      <c r="R27" s="102" t="inlineStr">
        <is>
          <t>2025-02-10</t>
        </is>
      </c>
      <c r="S27" s="102" t="inlineStr">
        <is>
          <t>E-commerce</t>
        </is>
      </c>
      <c r="T27" s="102" t="inlineStr">
        <is>
          <t>Completed</t>
        </is>
      </c>
      <c r="U27" s="102" t="inlineStr">
        <is>
          <t>Event Promo campaign - E-commerce</t>
        </is>
      </c>
    </row>
    <row r="28" ht="15" customHeight="1" s="66">
      <c r="A28" s="94" t="inlineStr">
        <is>
          <t>CAMP-2025027</t>
        </is>
      </c>
      <c r="B28" s="94" t="inlineStr">
        <is>
          <t>Podcast Ads - Seasonal - Q1 Beta</t>
        </is>
      </c>
      <c r="C28" s="94" t="inlineStr">
        <is>
          <t>Podcast Ads</t>
        </is>
      </c>
      <c r="D28" s="94" t="inlineStr">
        <is>
          <t>Seasonal</t>
        </is>
      </c>
      <c r="E28" s="94" t="inlineStr">
        <is>
          <t>Q1</t>
        </is>
      </c>
      <c r="F28" s="95" t="n">
        <v>68000</v>
      </c>
      <c r="G28" s="95" t="n">
        <v>282034</v>
      </c>
      <c r="H28" s="97" t="n">
        <v>3200</v>
      </c>
      <c r="I28" s="97" t="n">
        <v>298</v>
      </c>
      <c r="J28" s="97" t="n">
        <v>20664</v>
      </c>
      <c r="K28" s="97" t="n">
        <v>671734</v>
      </c>
      <c r="L28" s="99">
        <f>IFERROR(J28/K28,0)</f>
        <v/>
      </c>
      <c r="M28" s="100">
        <f>IFERROR(F28/J28,0)</f>
        <v/>
      </c>
      <c r="N28" s="95">
        <f>IFERROR(F28/I28,0)</f>
        <v/>
      </c>
      <c r="O28" s="98">
        <f>IFERROR((G28-F28)/F28,0)</f>
        <v/>
      </c>
      <c r="P28" s="98">
        <f>IFERROR(I28/H28,0)</f>
        <v/>
      </c>
      <c r="Q28" s="94" t="inlineStr">
        <is>
          <t>2025-06-14</t>
        </is>
      </c>
      <c r="R28" s="94" t="inlineStr">
        <is>
          <t>2025-08-21</t>
        </is>
      </c>
      <c r="S28" s="94" t="inlineStr">
        <is>
          <t>Tech Startups</t>
        </is>
      </c>
      <c r="T28" s="94" t="inlineStr">
        <is>
          <t>Paused</t>
        </is>
      </c>
      <c r="U28" s="94" t="inlineStr">
        <is>
          <t>Seasonal campaign - Tech Startups</t>
        </is>
      </c>
    </row>
    <row r="29" ht="15" customHeight="1" s="66">
      <c r="A29" s="102" t="inlineStr">
        <is>
          <t>CAMP-2025028</t>
        </is>
      </c>
      <c r="B29" s="102" t="inlineStr">
        <is>
          <t>Webinars - Upsell - Q2 Gamma</t>
        </is>
      </c>
      <c r="C29" s="102" t="inlineStr">
        <is>
          <t>Webinars</t>
        </is>
      </c>
      <c r="D29" s="102" t="inlineStr">
        <is>
          <t>Upsell</t>
        </is>
      </c>
      <c r="E29" s="102" t="inlineStr">
        <is>
          <t>Q2</t>
        </is>
      </c>
      <c r="F29" s="103" t="n">
        <v>16000</v>
      </c>
      <c r="G29" s="103" t="n">
        <v>60362</v>
      </c>
      <c r="H29" s="105" t="n">
        <v>386</v>
      </c>
      <c r="I29" s="105" t="n">
        <v>53</v>
      </c>
      <c r="J29" s="105" t="n">
        <v>6593</v>
      </c>
      <c r="K29" s="105" t="n">
        <v>357263</v>
      </c>
      <c r="L29" s="107">
        <f>IFERROR(J29/K29,0)</f>
        <v/>
      </c>
      <c r="M29" s="108">
        <f>IFERROR(F29/J29,0)</f>
        <v/>
      </c>
      <c r="N29" s="103">
        <f>IFERROR(F29/I29,0)</f>
        <v/>
      </c>
      <c r="O29" s="106">
        <f>IFERROR((G29-F29)/F29,0)</f>
        <v/>
      </c>
      <c r="P29" s="106">
        <f>IFERROR(I29/H29,0)</f>
        <v/>
      </c>
      <c r="Q29" s="102" t="inlineStr">
        <is>
          <t>2025-07-20</t>
        </is>
      </c>
      <c r="R29" s="102" t="inlineStr">
        <is>
          <t>2025-08-21</t>
        </is>
      </c>
      <c r="S29" s="102" t="inlineStr">
        <is>
          <t>Healthcare</t>
        </is>
      </c>
      <c r="T29" s="102" t="inlineStr">
        <is>
          <t>Paused</t>
        </is>
      </c>
      <c r="U29" s="102" t="inlineStr">
        <is>
          <t>Upsell campaign - Healthcare</t>
        </is>
      </c>
    </row>
    <row r="30" ht="15" customHeight="1" s="66">
      <c r="A30" s="94" t="inlineStr">
        <is>
          <t>CAMP-2025029</t>
        </is>
      </c>
      <c r="B30" s="94" t="inlineStr">
        <is>
          <t>Google Ads - Cross-sell - Q2 Delta</t>
        </is>
      </c>
      <c r="C30" s="94" t="inlineStr">
        <is>
          <t>Google Ads</t>
        </is>
      </c>
      <c r="D30" s="94" t="inlineStr">
        <is>
          <t>Cross-sell</t>
        </is>
      </c>
      <c r="E30" s="94" t="inlineStr">
        <is>
          <t>Q2</t>
        </is>
      </c>
      <c r="F30" s="95" t="n">
        <v>10000</v>
      </c>
      <c r="G30" s="95" t="n">
        <v>22744</v>
      </c>
      <c r="H30" s="97" t="n">
        <v>187</v>
      </c>
      <c r="I30" s="97" t="n">
        <v>43</v>
      </c>
      <c r="J30" s="97" t="n">
        <v>2989</v>
      </c>
      <c r="K30" s="97" t="n">
        <v>180024</v>
      </c>
      <c r="L30" s="99">
        <f>IFERROR(J30/K30,0)</f>
        <v/>
      </c>
      <c r="M30" s="100">
        <f>IFERROR(F30/J30,0)</f>
        <v/>
      </c>
      <c r="N30" s="95">
        <f>IFERROR(F30/I30,0)</f>
        <v/>
      </c>
      <c r="O30" s="98">
        <f>IFERROR((G30-F30)/F30,0)</f>
        <v/>
      </c>
      <c r="P30" s="98">
        <f>IFERROR(I30/H30,0)</f>
        <v/>
      </c>
      <c r="Q30" s="94" t="inlineStr">
        <is>
          <t>2025-06-26</t>
        </is>
      </c>
      <c r="R30" s="94" t="inlineStr">
        <is>
          <t>2025-08-15</t>
        </is>
      </c>
      <c r="S30" s="94" t="inlineStr">
        <is>
          <t>Retail</t>
        </is>
      </c>
      <c r="T30" s="94" t="inlineStr">
        <is>
          <t>Active</t>
        </is>
      </c>
      <c r="U30" s="94" t="inlineStr">
        <is>
          <t>Cross-sell campaign - Retail</t>
        </is>
      </c>
    </row>
    <row r="31" ht="15" customHeight="1" s="66">
      <c r="A31" s="102" t="inlineStr">
        <is>
          <t>CAMP-2025030</t>
        </is>
      </c>
      <c r="B31" s="102" t="inlineStr">
        <is>
          <t>Facebook Ads - Winback - Q2 Epsilon</t>
        </is>
      </c>
      <c r="C31" s="102" t="inlineStr">
        <is>
          <t>Facebook Ads</t>
        </is>
      </c>
      <c r="D31" s="102" t="inlineStr">
        <is>
          <t>Winback</t>
        </is>
      </c>
      <c r="E31" s="102" t="inlineStr">
        <is>
          <t>Q2</t>
        </is>
      </c>
      <c r="F31" s="103" t="n">
        <v>8000</v>
      </c>
      <c r="G31" s="103" t="n">
        <v>28601</v>
      </c>
      <c r="H31" s="105" t="n">
        <v>327</v>
      </c>
      <c r="I31" s="105" t="n">
        <v>28</v>
      </c>
      <c r="J31" s="105" t="n">
        <v>4192</v>
      </c>
      <c r="K31" s="105" t="n">
        <v>57198</v>
      </c>
      <c r="L31" s="107">
        <f>IFERROR(J31/K31,0)</f>
        <v/>
      </c>
      <c r="M31" s="108">
        <f>IFERROR(F31/J31,0)</f>
        <v/>
      </c>
      <c r="N31" s="103">
        <f>IFERROR(F31/I31,0)</f>
        <v/>
      </c>
      <c r="O31" s="106">
        <f>IFERROR((G31-F31)/F31,0)</f>
        <v/>
      </c>
      <c r="P31" s="106">
        <f>IFERROR(I31/H31,0)</f>
        <v/>
      </c>
      <c r="Q31" s="102" t="inlineStr">
        <is>
          <t>2025-09-08</t>
        </is>
      </c>
      <c r="R31" s="102" t="inlineStr">
        <is>
          <t>2025-11-01</t>
        </is>
      </c>
      <c r="S31" s="102" t="inlineStr">
        <is>
          <t>SaaS Companies</t>
        </is>
      </c>
      <c r="T31" s="102" t="inlineStr">
        <is>
          <t>Completed</t>
        </is>
      </c>
      <c r="U31" s="102" t="inlineStr">
        <is>
          <t>Winback campaign - SaaS Companies</t>
        </is>
      </c>
    </row>
    <row r="32" ht="15" customHeight="1" s="66">
      <c r="A32" s="94" t="inlineStr">
        <is>
          <t>CAMP-2025031</t>
        </is>
      </c>
      <c r="B32" s="94" t="inlineStr">
        <is>
          <t>LinkedIn Ads - Brand Awareness - Q3 Alpha</t>
        </is>
      </c>
      <c r="C32" s="94" t="inlineStr">
        <is>
          <t>LinkedIn Ads</t>
        </is>
      </c>
      <c r="D32" s="94" t="inlineStr">
        <is>
          <t>Brand Awareness</t>
        </is>
      </c>
      <c r="E32" s="94" t="inlineStr">
        <is>
          <t>Q3</t>
        </is>
      </c>
      <c r="F32" s="95" t="n">
        <v>23000</v>
      </c>
      <c r="G32" s="95" t="n">
        <v>101136</v>
      </c>
      <c r="H32" s="97" t="n">
        <v>1292</v>
      </c>
      <c r="I32" s="97" t="n">
        <v>162</v>
      </c>
      <c r="J32" s="97" t="n">
        <v>10900</v>
      </c>
      <c r="K32" s="97" t="n">
        <v>329323</v>
      </c>
      <c r="L32" s="99">
        <f>IFERROR(J32/K32,0)</f>
        <v/>
      </c>
      <c r="M32" s="100">
        <f>IFERROR(F32/J32,0)</f>
        <v/>
      </c>
      <c r="N32" s="95">
        <f>IFERROR(F32/I32,0)</f>
        <v/>
      </c>
      <c r="O32" s="98">
        <f>IFERROR((G32-F32)/F32,0)</f>
        <v/>
      </c>
      <c r="P32" s="98">
        <f>IFERROR(I32/H32,0)</f>
        <v/>
      </c>
      <c r="Q32" s="94" t="inlineStr">
        <is>
          <t>2025-03-11</t>
        </is>
      </c>
      <c r="R32" s="94" t="inlineStr">
        <is>
          <t>2025-06-07</t>
        </is>
      </c>
      <c r="S32" s="94" t="inlineStr">
        <is>
          <t>B2B Executives</t>
        </is>
      </c>
      <c r="T32" s="94" t="inlineStr">
        <is>
          <t>Completed</t>
        </is>
      </c>
      <c r="U32" s="94" t="inlineStr">
        <is>
          <t>Brand Awareness campaign - B2B Executives</t>
        </is>
      </c>
    </row>
    <row r="33" ht="15" customHeight="1" s="66">
      <c r="A33" s="102" t="inlineStr">
        <is>
          <t>CAMP-2025032</t>
        </is>
      </c>
      <c r="B33" s="102" t="inlineStr">
        <is>
          <t>Email Marketing - Lead Gen - Q3 Beta</t>
        </is>
      </c>
      <c r="C33" s="102" t="inlineStr">
        <is>
          <t>Email Marketing</t>
        </is>
      </c>
      <c r="D33" s="102" t="inlineStr">
        <is>
          <t>Lead Gen</t>
        </is>
      </c>
      <c r="E33" s="102" t="inlineStr">
        <is>
          <t>Q3</t>
        </is>
      </c>
      <c r="F33" s="103" t="n">
        <v>37000</v>
      </c>
      <c r="G33" s="103" t="n">
        <v>141870</v>
      </c>
      <c r="H33" s="105" t="n">
        <v>2052</v>
      </c>
      <c r="I33" s="105" t="n">
        <v>371</v>
      </c>
      <c r="J33" s="105" t="n">
        <v>0</v>
      </c>
      <c r="K33" s="105" t="n">
        <v>0</v>
      </c>
      <c r="L33" s="107">
        <f>IFERROR(J33/K33,0)</f>
        <v/>
      </c>
      <c r="M33" s="108">
        <f>IFERROR(F33/J33,0)</f>
        <v/>
      </c>
      <c r="N33" s="103">
        <f>IFERROR(F33/I33,0)</f>
        <v/>
      </c>
      <c r="O33" s="106">
        <f>IFERROR((G33-F33)/F33,0)</f>
        <v/>
      </c>
      <c r="P33" s="106">
        <f>IFERROR(I33/H33,0)</f>
        <v/>
      </c>
      <c r="Q33" s="102" t="inlineStr">
        <is>
          <t>2025-11-25</t>
        </is>
      </c>
      <c r="R33" s="102" t="inlineStr">
        <is>
          <t>2026-01-10</t>
        </is>
      </c>
      <c r="S33" s="102" t="inlineStr">
        <is>
          <t>SMB Owners</t>
        </is>
      </c>
      <c r="T33" s="102" t="inlineStr">
        <is>
          <t>Completed</t>
        </is>
      </c>
      <c r="U33" s="102" t="inlineStr">
        <is>
          <t>Lead Gen campaign - SMB Owners</t>
        </is>
      </c>
    </row>
    <row r="34" ht="15" customHeight="1" s="66">
      <c r="A34" s="94" t="inlineStr">
        <is>
          <t>CAMP-2025033</t>
        </is>
      </c>
      <c r="B34" s="94" t="inlineStr">
        <is>
          <t>SEO/Organic - Retargeting - Q3 Gamma</t>
        </is>
      </c>
      <c r="C34" s="94" t="inlineStr">
        <is>
          <t>SEO/Organic</t>
        </is>
      </c>
      <c r="D34" s="94" t="inlineStr">
        <is>
          <t>Retargeting</t>
        </is>
      </c>
      <c r="E34" s="94" t="inlineStr">
        <is>
          <t>Q3</t>
        </is>
      </c>
      <c r="F34" s="95" t="n">
        <v>61000</v>
      </c>
      <c r="G34" s="95" t="n">
        <v>154664</v>
      </c>
      <c r="H34" s="97" t="n">
        <v>2161</v>
      </c>
      <c r="I34" s="97" t="n">
        <v>176</v>
      </c>
      <c r="J34" s="97" t="n">
        <v>0</v>
      </c>
      <c r="K34" s="97" t="n">
        <v>0</v>
      </c>
      <c r="L34" s="99">
        <f>IFERROR(J34/K34,0)</f>
        <v/>
      </c>
      <c r="M34" s="100">
        <f>IFERROR(F34/J34,0)</f>
        <v/>
      </c>
      <c r="N34" s="95">
        <f>IFERROR(F34/I34,0)</f>
        <v/>
      </c>
      <c r="O34" s="98">
        <f>IFERROR((G34-F34)/F34,0)</f>
        <v/>
      </c>
      <c r="P34" s="98">
        <f>IFERROR(I34/H34,0)</f>
        <v/>
      </c>
      <c r="Q34" s="94" t="inlineStr">
        <is>
          <t>2025-07-17</t>
        </is>
      </c>
      <c r="R34" s="94" t="inlineStr">
        <is>
          <t>2025-10-12</t>
        </is>
      </c>
      <c r="S34" s="94" t="inlineStr">
        <is>
          <t>Enterprise IT</t>
        </is>
      </c>
      <c r="T34" s="94" t="inlineStr">
        <is>
          <t>Active</t>
        </is>
      </c>
      <c r="U34" s="94" t="inlineStr">
        <is>
          <t>Retargeting campaign - Enterprise IT</t>
        </is>
      </c>
    </row>
    <row r="35" ht="15" customHeight="1" s="66">
      <c r="A35" s="102" t="inlineStr">
        <is>
          <t>CAMP-2025034</t>
        </is>
      </c>
      <c r="B35" s="102" t="inlineStr">
        <is>
          <t>Content Marketing - Product Launch - Q4 Delta</t>
        </is>
      </c>
      <c r="C35" s="102" t="inlineStr">
        <is>
          <t>Content Marketing</t>
        </is>
      </c>
      <c r="D35" s="102" t="inlineStr">
        <is>
          <t>Product Launch</t>
        </is>
      </c>
      <c r="E35" s="102" t="inlineStr">
        <is>
          <t>Q4</t>
        </is>
      </c>
      <c r="F35" s="103" t="n">
        <v>76000</v>
      </c>
      <c r="G35" s="103" t="n">
        <v>276330</v>
      </c>
      <c r="H35" s="105" t="n">
        <v>3511</v>
      </c>
      <c r="I35" s="105" t="n">
        <v>848</v>
      </c>
      <c r="J35" s="105" t="n">
        <v>0</v>
      </c>
      <c r="K35" s="105" t="n">
        <v>0</v>
      </c>
      <c r="L35" s="107">
        <f>IFERROR(J35/K35,0)</f>
        <v/>
      </c>
      <c r="M35" s="108">
        <f>IFERROR(F35/J35,0)</f>
        <v/>
      </c>
      <c r="N35" s="103">
        <f>IFERROR(F35/I35,0)</f>
        <v/>
      </c>
      <c r="O35" s="106">
        <f>IFERROR((G35-F35)/F35,0)</f>
        <v/>
      </c>
      <c r="P35" s="106">
        <f>IFERROR(I35/H35,0)</f>
        <v/>
      </c>
      <c r="Q35" s="102" t="inlineStr">
        <is>
          <t>2025-02-14</t>
        </is>
      </c>
      <c r="R35" s="102" t="inlineStr">
        <is>
          <t>2025-04-14</t>
        </is>
      </c>
      <c r="S35" s="102" t="inlineStr">
        <is>
          <t>Marketing Leaders</t>
        </is>
      </c>
      <c r="T35" s="102" t="inlineStr">
        <is>
          <t>Completed</t>
        </is>
      </c>
      <c r="U35" s="102" t="inlineStr">
        <is>
          <t>Product Launch campaign - Marketing Leaders</t>
        </is>
      </c>
    </row>
    <row r="36" ht="15" customHeight="1" s="66">
      <c r="A36" s="94" t="inlineStr">
        <is>
          <t>CAMP-2025035</t>
        </is>
      </c>
      <c r="B36" s="94" t="inlineStr">
        <is>
          <t>Affiliate - Nurture - Q4 Epsilon</t>
        </is>
      </c>
      <c r="C36" s="94" t="inlineStr">
        <is>
          <t>Affiliate</t>
        </is>
      </c>
      <c r="D36" s="94" t="inlineStr">
        <is>
          <t>Nurture</t>
        </is>
      </c>
      <c r="E36" s="94" t="inlineStr">
        <is>
          <t>Q4</t>
        </is>
      </c>
      <c r="F36" s="95" t="n">
        <v>11000</v>
      </c>
      <c r="G36" s="95" t="n">
        <v>19913</v>
      </c>
      <c r="H36" s="97" t="n">
        <v>703</v>
      </c>
      <c r="I36" s="97" t="n">
        <v>142</v>
      </c>
      <c r="J36" s="97" t="n">
        <v>6107</v>
      </c>
      <c r="K36" s="97" t="n">
        <v>80375</v>
      </c>
      <c r="L36" s="99">
        <f>IFERROR(J36/K36,0)</f>
        <v/>
      </c>
      <c r="M36" s="100">
        <f>IFERROR(F36/J36,0)</f>
        <v/>
      </c>
      <c r="N36" s="95">
        <f>IFERROR(F36/I36,0)</f>
        <v/>
      </c>
      <c r="O36" s="98">
        <f>IFERROR((G36-F36)/F36,0)</f>
        <v/>
      </c>
      <c r="P36" s="98">
        <f>IFERROR(I36/H36,0)</f>
        <v/>
      </c>
      <c r="Q36" s="94" t="inlineStr">
        <is>
          <t>2025-02-06</t>
        </is>
      </c>
      <c r="R36" s="94" t="inlineStr">
        <is>
          <t>2025-03-27</t>
        </is>
      </c>
      <c r="S36" s="94" t="inlineStr">
        <is>
          <t>Finance Teams</t>
        </is>
      </c>
      <c r="T36" s="94" t="inlineStr">
        <is>
          <t>Completed</t>
        </is>
      </c>
      <c r="U36" s="94" t="inlineStr">
        <is>
          <t>Nurture campaign - Finance Teams</t>
        </is>
      </c>
    </row>
    <row r="37" ht="15" customHeight="1" s="66">
      <c r="A37" s="102" t="inlineStr">
        <is>
          <t>CAMP-2025036</t>
        </is>
      </c>
      <c r="B37" s="102" t="inlineStr">
        <is>
          <t>Influencer - Event Promo - Q4 Alpha</t>
        </is>
      </c>
      <c r="C37" s="102" t="inlineStr">
        <is>
          <t>Influencer</t>
        </is>
      </c>
      <c r="D37" s="102" t="inlineStr">
        <is>
          <t>Event Promo</t>
        </is>
      </c>
      <c r="E37" s="102" t="inlineStr">
        <is>
          <t>Q4</t>
        </is>
      </c>
      <c r="F37" s="103" t="n">
        <v>2000</v>
      </c>
      <c r="G37" s="103" t="n">
        <v>6907</v>
      </c>
      <c r="H37" s="105" t="n">
        <v>54</v>
      </c>
      <c r="I37" s="105" t="n">
        <v>5</v>
      </c>
      <c r="J37" s="105" t="n">
        <v>937</v>
      </c>
      <c r="K37" s="105" t="n">
        <v>77008</v>
      </c>
      <c r="L37" s="107">
        <f>IFERROR(J37/K37,0)</f>
        <v/>
      </c>
      <c r="M37" s="108">
        <f>IFERROR(F37/J37,0)</f>
        <v/>
      </c>
      <c r="N37" s="103">
        <f>IFERROR(F37/I37,0)</f>
        <v/>
      </c>
      <c r="O37" s="106">
        <f>IFERROR((G37-F37)/F37,0)</f>
        <v/>
      </c>
      <c r="P37" s="106">
        <f>IFERROR(I37/H37,0)</f>
        <v/>
      </c>
      <c r="Q37" s="102" t="inlineStr">
        <is>
          <t>2025-10-01</t>
        </is>
      </c>
      <c r="R37" s="102" t="inlineStr">
        <is>
          <t>2025-11-22</t>
        </is>
      </c>
      <c r="S37" s="102" t="inlineStr">
        <is>
          <t>E-commerce</t>
        </is>
      </c>
      <c r="T37" s="102" t="inlineStr">
        <is>
          <t>Completed</t>
        </is>
      </c>
      <c r="U37" s="102" t="inlineStr">
        <is>
          <t>Event Promo campaign - E-commerce</t>
        </is>
      </c>
    </row>
    <row r="38" ht="15" customHeight="1" s="66">
      <c r="A38" s="94" t="inlineStr">
        <is>
          <t>CAMP-2025037</t>
        </is>
      </c>
      <c r="B38" s="94" t="inlineStr">
        <is>
          <t>YouTube Ads - Seasonal - Q1 Beta</t>
        </is>
      </c>
      <c r="C38" s="94" t="inlineStr">
        <is>
          <t>YouTube Ads</t>
        </is>
      </c>
      <c r="D38" s="94" t="inlineStr">
        <is>
          <t>Seasonal</t>
        </is>
      </c>
      <c r="E38" s="94" t="inlineStr">
        <is>
          <t>Q1</t>
        </is>
      </c>
      <c r="F38" s="95" t="n">
        <v>7000</v>
      </c>
      <c r="G38" s="95" t="n">
        <v>31029</v>
      </c>
      <c r="H38" s="97" t="n">
        <v>217</v>
      </c>
      <c r="I38" s="97" t="n">
        <v>31</v>
      </c>
      <c r="J38" s="97" t="n">
        <v>6508</v>
      </c>
      <c r="K38" s="97" t="n">
        <v>453087</v>
      </c>
      <c r="L38" s="99">
        <f>IFERROR(J38/K38,0)</f>
        <v/>
      </c>
      <c r="M38" s="100">
        <f>IFERROR(F38/J38,0)</f>
        <v/>
      </c>
      <c r="N38" s="95">
        <f>IFERROR(F38/I38,0)</f>
        <v/>
      </c>
      <c r="O38" s="98">
        <f>IFERROR((G38-F38)/F38,0)</f>
        <v/>
      </c>
      <c r="P38" s="98">
        <f>IFERROR(I38/H38,0)</f>
        <v/>
      </c>
      <c r="Q38" s="94" t="inlineStr">
        <is>
          <t>2025-10-03</t>
        </is>
      </c>
      <c r="R38" s="94" t="inlineStr">
        <is>
          <t>2025-12-14</t>
        </is>
      </c>
      <c r="S38" s="94" t="inlineStr">
        <is>
          <t>Tech Startups</t>
        </is>
      </c>
      <c r="T38" s="94" t="inlineStr">
        <is>
          <t>Completed</t>
        </is>
      </c>
      <c r="U38" s="94" t="inlineStr">
        <is>
          <t>Seasonal campaign - Tech Startups</t>
        </is>
      </c>
    </row>
    <row r="39" ht="15" customHeight="1" s="66">
      <c r="A39" s="102" t="inlineStr">
        <is>
          <t>CAMP-2025038</t>
        </is>
      </c>
      <c r="B39" s="102" t="inlineStr">
        <is>
          <t>Twitter/X Ads - Upsell - Q1 Gamma</t>
        </is>
      </c>
      <c r="C39" s="102" t="inlineStr">
        <is>
          <t>Twitter/X Ads</t>
        </is>
      </c>
      <c r="D39" s="102" t="inlineStr">
        <is>
          <t>Upsell</t>
        </is>
      </c>
      <c r="E39" s="102" t="inlineStr">
        <is>
          <t>Q1</t>
        </is>
      </c>
      <c r="F39" s="103" t="n">
        <v>47000</v>
      </c>
      <c r="G39" s="103" t="n">
        <v>137665</v>
      </c>
      <c r="H39" s="105" t="n">
        <v>2452</v>
      </c>
      <c r="I39" s="105" t="n">
        <v>533</v>
      </c>
      <c r="J39" s="105" t="n">
        <v>31213</v>
      </c>
      <c r="K39" s="105" t="n">
        <v>673161</v>
      </c>
      <c r="L39" s="107">
        <f>IFERROR(J39/K39,0)</f>
        <v/>
      </c>
      <c r="M39" s="108">
        <f>IFERROR(F39/J39,0)</f>
        <v/>
      </c>
      <c r="N39" s="103">
        <f>IFERROR(F39/I39,0)</f>
        <v/>
      </c>
      <c r="O39" s="106">
        <f>IFERROR((G39-F39)/F39,0)</f>
        <v/>
      </c>
      <c r="P39" s="106">
        <f>IFERROR(I39/H39,0)</f>
        <v/>
      </c>
      <c r="Q39" s="102" t="inlineStr">
        <is>
          <t>2025-02-16</t>
        </is>
      </c>
      <c r="R39" s="102" t="inlineStr">
        <is>
          <t>2025-03-05</t>
        </is>
      </c>
      <c r="S39" s="102" t="inlineStr">
        <is>
          <t>Healthcare</t>
        </is>
      </c>
      <c r="T39" s="102" t="inlineStr">
        <is>
          <t>Planning</t>
        </is>
      </c>
      <c r="U39" s="102" t="inlineStr">
        <is>
          <t>Upsell campaign - Healthcare</t>
        </is>
      </c>
    </row>
    <row r="40" ht="15" customHeight="1" s="66">
      <c r="A40" s="94" t="inlineStr">
        <is>
          <t>CAMP-2025039</t>
        </is>
      </c>
      <c r="B40" s="94" t="inlineStr">
        <is>
          <t>TikTok Ads - Cross-sell - Q1 Delta</t>
        </is>
      </c>
      <c r="C40" s="94" t="inlineStr">
        <is>
          <t>TikTok Ads</t>
        </is>
      </c>
      <c r="D40" s="94" t="inlineStr">
        <is>
          <t>Cross-sell</t>
        </is>
      </c>
      <c r="E40" s="94" t="inlineStr">
        <is>
          <t>Q1</t>
        </is>
      </c>
      <c r="F40" s="95" t="n">
        <v>8000</v>
      </c>
      <c r="G40" s="95" t="n">
        <v>20177</v>
      </c>
      <c r="H40" s="97" t="n">
        <v>154</v>
      </c>
      <c r="I40" s="97" t="n">
        <v>27</v>
      </c>
      <c r="J40" s="97" t="n">
        <v>2715</v>
      </c>
      <c r="K40" s="97" t="n">
        <v>60033</v>
      </c>
      <c r="L40" s="99">
        <f>IFERROR(J40/K40,0)</f>
        <v/>
      </c>
      <c r="M40" s="100">
        <f>IFERROR(F40/J40,0)</f>
        <v/>
      </c>
      <c r="N40" s="95">
        <f>IFERROR(F40/I40,0)</f>
        <v/>
      </c>
      <c r="O40" s="98">
        <f>IFERROR((G40-F40)/F40,0)</f>
        <v/>
      </c>
      <c r="P40" s="98">
        <f>IFERROR(I40/H40,0)</f>
        <v/>
      </c>
      <c r="Q40" s="94" t="inlineStr">
        <is>
          <t>2025-08-10</t>
        </is>
      </c>
      <c r="R40" s="94" t="inlineStr">
        <is>
          <t>2025-09-10</t>
        </is>
      </c>
      <c r="S40" s="94" t="inlineStr">
        <is>
          <t>Retail</t>
        </is>
      </c>
      <c r="T40" s="94" t="inlineStr">
        <is>
          <t>Completed</t>
        </is>
      </c>
      <c r="U40" s="94" t="inlineStr">
        <is>
          <t>Cross-sell campaign - Retail</t>
        </is>
      </c>
    </row>
    <row r="41" ht="15" customHeight="1" s="66">
      <c r="A41" s="102" t="inlineStr">
        <is>
          <t>CAMP-2025040</t>
        </is>
      </c>
      <c r="B41" s="102" t="inlineStr">
        <is>
          <t>Display/Banner - Winback - Q2 Epsilon</t>
        </is>
      </c>
      <c r="C41" s="102" t="inlineStr">
        <is>
          <t>Display/Banner</t>
        </is>
      </c>
      <c r="D41" s="102" t="inlineStr">
        <is>
          <t>Winback</t>
        </is>
      </c>
      <c r="E41" s="102" t="inlineStr">
        <is>
          <t>Q2</t>
        </is>
      </c>
      <c r="F41" s="103" t="n">
        <v>53000</v>
      </c>
      <c r="G41" s="103" t="n">
        <v>106937</v>
      </c>
      <c r="H41" s="105" t="n">
        <v>1515</v>
      </c>
      <c r="I41" s="105" t="n">
        <v>180</v>
      </c>
      <c r="J41" s="105" t="n">
        <v>17379</v>
      </c>
      <c r="K41" s="105" t="n">
        <v>455941</v>
      </c>
      <c r="L41" s="107">
        <f>IFERROR(J41/K41,0)</f>
        <v/>
      </c>
      <c r="M41" s="108">
        <f>IFERROR(F41/J41,0)</f>
        <v/>
      </c>
      <c r="N41" s="103">
        <f>IFERROR(F41/I41,0)</f>
        <v/>
      </c>
      <c r="O41" s="106">
        <f>IFERROR((G41-F41)/F41,0)</f>
        <v/>
      </c>
      <c r="P41" s="106">
        <f>IFERROR(I41/H41,0)</f>
        <v/>
      </c>
      <c r="Q41" s="102" t="inlineStr">
        <is>
          <t>2025-10-16</t>
        </is>
      </c>
      <c r="R41" s="102" t="inlineStr">
        <is>
          <t>2025-11-01</t>
        </is>
      </c>
      <c r="S41" s="102" t="inlineStr">
        <is>
          <t>SaaS Companies</t>
        </is>
      </c>
      <c r="T41" s="102" t="inlineStr">
        <is>
          <t>Active</t>
        </is>
      </c>
      <c r="U41" s="102" t="inlineStr">
        <is>
          <t>Winback campaign - SaaS Companies</t>
        </is>
      </c>
    </row>
    <row r="42" ht="15" customHeight="1" s="66">
      <c r="A42" s="94" t="inlineStr">
        <is>
          <t>CAMP-2025041</t>
        </is>
      </c>
      <c r="B42" s="94" t="inlineStr">
        <is>
          <t>Podcast Ads - Brand Awareness - Q2 Alpha</t>
        </is>
      </c>
      <c r="C42" s="94" t="inlineStr">
        <is>
          <t>Podcast Ads</t>
        </is>
      </c>
      <c r="D42" s="94" t="inlineStr">
        <is>
          <t>Brand Awareness</t>
        </is>
      </c>
      <c r="E42" s="94" t="inlineStr">
        <is>
          <t>Q2</t>
        </is>
      </c>
      <c r="F42" s="95" t="n">
        <v>5000</v>
      </c>
      <c r="G42" s="95" t="n">
        <v>11401</v>
      </c>
      <c r="H42" s="97" t="n">
        <v>118</v>
      </c>
      <c r="I42" s="97" t="n">
        <v>11</v>
      </c>
      <c r="J42" s="97" t="n">
        <v>1771</v>
      </c>
      <c r="K42" s="97" t="n">
        <v>51881</v>
      </c>
      <c r="L42" s="99">
        <f>IFERROR(J42/K42,0)</f>
        <v/>
      </c>
      <c r="M42" s="100">
        <f>IFERROR(F42/J42,0)</f>
        <v/>
      </c>
      <c r="N42" s="95">
        <f>IFERROR(F42/I42,0)</f>
        <v/>
      </c>
      <c r="O42" s="98">
        <f>IFERROR((G42-F42)/F42,0)</f>
        <v/>
      </c>
      <c r="P42" s="98">
        <f>IFERROR(I42/H42,0)</f>
        <v/>
      </c>
      <c r="Q42" s="94" t="inlineStr">
        <is>
          <t>2025-01-03</t>
        </is>
      </c>
      <c r="R42" s="94" t="inlineStr">
        <is>
          <t>2025-03-11</t>
        </is>
      </c>
      <c r="S42" s="94" t="inlineStr">
        <is>
          <t>B2B Executives</t>
        </is>
      </c>
      <c r="T42" s="94" t="inlineStr">
        <is>
          <t>Active</t>
        </is>
      </c>
      <c r="U42" s="94" t="inlineStr">
        <is>
          <t>Brand Awareness campaign - B2B Executives</t>
        </is>
      </c>
    </row>
    <row r="43" ht="15" customHeight="1" s="66">
      <c r="A43" s="102" t="inlineStr">
        <is>
          <t>CAMP-2025042</t>
        </is>
      </c>
      <c r="B43" s="102" t="inlineStr">
        <is>
          <t>Webinars - Lead Gen - Q2 Beta</t>
        </is>
      </c>
      <c r="C43" s="102" t="inlineStr">
        <is>
          <t>Webinars</t>
        </is>
      </c>
      <c r="D43" s="102" t="inlineStr">
        <is>
          <t>Lead Gen</t>
        </is>
      </c>
      <c r="E43" s="102" t="inlineStr">
        <is>
          <t>Q2</t>
        </is>
      </c>
      <c r="F43" s="103" t="n">
        <v>28000</v>
      </c>
      <c r="G43" s="103" t="n">
        <v>79300</v>
      </c>
      <c r="H43" s="105" t="n">
        <v>741</v>
      </c>
      <c r="I43" s="105" t="n">
        <v>109</v>
      </c>
      <c r="J43" s="105" t="n">
        <v>13822</v>
      </c>
      <c r="K43" s="105" t="n">
        <v>277676</v>
      </c>
      <c r="L43" s="107">
        <f>IFERROR(J43/K43,0)</f>
        <v/>
      </c>
      <c r="M43" s="108">
        <f>IFERROR(F43/J43,0)</f>
        <v/>
      </c>
      <c r="N43" s="103">
        <f>IFERROR(F43/I43,0)</f>
        <v/>
      </c>
      <c r="O43" s="106">
        <f>IFERROR((G43-F43)/F43,0)</f>
        <v/>
      </c>
      <c r="P43" s="106">
        <f>IFERROR(I43/H43,0)</f>
        <v/>
      </c>
      <c r="Q43" s="102" t="inlineStr">
        <is>
          <t>2025-08-07</t>
        </is>
      </c>
      <c r="R43" s="102" t="inlineStr">
        <is>
          <t>2025-09-04</t>
        </is>
      </c>
      <c r="S43" s="102" t="inlineStr">
        <is>
          <t>SMB Owners</t>
        </is>
      </c>
      <c r="T43" s="102" t="inlineStr">
        <is>
          <t>Active</t>
        </is>
      </c>
      <c r="U43" s="102" t="inlineStr">
        <is>
          <t>Lead Gen campaign - SMB Owners</t>
        </is>
      </c>
    </row>
    <row r="44" ht="15" customHeight="1" s="66">
      <c r="A44" s="94" t="inlineStr">
        <is>
          <t>CAMP-2025043</t>
        </is>
      </c>
      <c r="B44" s="94" t="inlineStr">
        <is>
          <t>Google Ads - Retargeting - Q3 Gamma</t>
        </is>
      </c>
      <c r="C44" s="94" t="inlineStr">
        <is>
          <t>Google Ads</t>
        </is>
      </c>
      <c r="D44" s="94" t="inlineStr">
        <is>
          <t>Retargeting</t>
        </is>
      </c>
      <c r="E44" s="94" t="inlineStr">
        <is>
          <t>Q3</t>
        </is>
      </c>
      <c r="F44" s="95" t="n">
        <v>57000</v>
      </c>
      <c r="G44" s="95" t="n">
        <v>201337</v>
      </c>
      <c r="H44" s="97" t="n">
        <v>958</v>
      </c>
      <c r="I44" s="97" t="n">
        <v>80</v>
      </c>
      <c r="J44" s="97" t="n">
        <v>24125</v>
      </c>
      <c r="K44" s="97" t="n">
        <v>2399360</v>
      </c>
      <c r="L44" s="99">
        <f>IFERROR(J44/K44,0)</f>
        <v/>
      </c>
      <c r="M44" s="100">
        <f>IFERROR(F44/J44,0)</f>
        <v/>
      </c>
      <c r="N44" s="95">
        <f>IFERROR(F44/I44,0)</f>
        <v/>
      </c>
      <c r="O44" s="98">
        <f>IFERROR((G44-F44)/F44,0)</f>
        <v/>
      </c>
      <c r="P44" s="98">
        <f>IFERROR(I44/H44,0)</f>
        <v/>
      </c>
      <c r="Q44" s="94" t="inlineStr">
        <is>
          <t>2025-09-21</t>
        </is>
      </c>
      <c r="R44" s="94" t="inlineStr">
        <is>
          <t>2025-12-12</t>
        </is>
      </c>
      <c r="S44" s="94" t="inlineStr">
        <is>
          <t>Enterprise IT</t>
        </is>
      </c>
      <c r="T44" s="94" t="inlineStr">
        <is>
          <t>Completed</t>
        </is>
      </c>
      <c r="U44" s="94" t="inlineStr">
        <is>
          <t>Retargeting campaign - Enterprise IT</t>
        </is>
      </c>
    </row>
    <row r="45" ht="15" customHeight="1" s="66">
      <c r="A45" s="102" t="inlineStr">
        <is>
          <t>CAMP-2025044</t>
        </is>
      </c>
      <c r="B45" s="102" t="inlineStr">
        <is>
          <t>Facebook Ads - Product Launch - Q3 Delta</t>
        </is>
      </c>
      <c r="C45" s="102" t="inlineStr">
        <is>
          <t>Facebook Ads</t>
        </is>
      </c>
      <c r="D45" s="102" t="inlineStr">
        <is>
          <t>Product Launch</t>
        </is>
      </c>
      <c r="E45" s="102" t="inlineStr">
        <is>
          <t>Q3</t>
        </is>
      </c>
      <c r="F45" s="103" t="n">
        <v>32000</v>
      </c>
      <c r="G45" s="103" t="n">
        <v>111576</v>
      </c>
      <c r="H45" s="105" t="n">
        <v>863</v>
      </c>
      <c r="I45" s="105" t="n">
        <v>86</v>
      </c>
      <c r="J45" s="105" t="n">
        <v>12124</v>
      </c>
      <c r="K45" s="105" t="n">
        <v>168173</v>
      </c>
      <c r="L45" s="107">
        <f>IFERROR(J45/K45,0)</f>
        <v/>
      </c>
      <c r="M45" s="108">
        <f>IFERROR(F45/J45,0)</f>
        <v/>
      </c>
      <c r="N45" s="103">
        <f>IFERROR(F45/I45,0)</f>
        <v/>
      </c>
      <c r="O45" s="106">
        <f>IFERROR((G45-F45)/F45,0)</f>
        <v/>
      </c>
      <c r="P45" s="106">
        <f>IFERROR(I45/H45,0)</f>
        <v/>
      </c>
      <c r="Q45" s="102" t="inlineStr">
        <is>
          <t>2025-08-28</t>
        </is>
      </c>
      <c r="R45" s="102" t="inlineStr">
        <is>
          <t>2025-10-17</t>
        </is>
      </c>
      <c r="S45" s="102" t="inlineStr">
        <is>
          <t>Marketing Leaders</t>
        </is>
      </c>
      <c r="T45" s="102" t="inlineStr">
        <is>
          <t>Completed</t>
        </is>
      </c>
      <c r="U45" s="102" t="inlineStr">
        <is>
          <t>Product Launch campaign - Marketing Leaders</t>
        </is>
      </c>
    </row>
    <row r="46" ht="15" customHeight="1" s="66">
      <c r="A46" s="94" t="inlineStr">
        <is>
          <t>CAMP-2025045</t>
        </is>
      </c>
      <c r="B46" s="94" t="inlineStr">
        <is>
          <t>LinkedIn Ads - Nurture - Q3 Epsilon</t>
        </is>
      </c>
      <c r="C46" s="94" t="inlineStr">
        <is>
          <t>LinkedIn Ads</t>
        </is>
      </c>
      <c r="D46" s="94" t="inlineStr">
        <is>
          <t>Nurture</t>
        </is>
      </c>
      <c r="E46" s="94" t="inlineStr">
        <is>
          <t>Q3</t>
        </is>
      </c>
      <c r="F46" s="95" t="n">
        <v>46000</v>
      </c>
      <c r="G46" s="95" t="n">
        <v>135981</v>
      </c>
      <c r="H46" s="97" t="n">
        <v>1128</v>
      </c>
      <c r="I46" s="97" t="n">
        <v>163</v>
      </c>
      <c r="J46" s="97" t="n">
        <v>47921</v>
      </c>
      <c r="K46" s="97" t="n">
        <v>1293567</v>
      </c>
      <c r="L46" s="99">
        <f>IFERROR(J46/K46,0)</f>
        <v/>
      </c>
      <c r="M46" s="100">
        <f>IFERROR(F46/J46,0)</f>
        <v/>
      </c>
      <c r="N46" s="95">
        <f>IFERROR(F46/I46,0)</f>
        <v/>
      </c>
      <c r="O46" s="98">
        <f>IFERROR((G46-F46)/F46,0)</f>
        <v/>
      </c>
      <c r="P46" s="98">
        <f>IFERROR(I46/H46,0)</f>
        <v/>
      </c>
      <c r="Q46" s="94" t="inlineStr">
        <is>
          <t>2025-05-29</t>
        </is>
      </c>
      <c r="R46" s="94" t="inlineStr">
        <is>
          <t>2025-07-09</t>
        </is>
      </c>
      <c r="S46" s="94" t="inlineStr">
        <is>
          <t>Finance Teams</t>
        </is>
      </c>
      <c r="T46" s="94" t="inlineStr">
        <is>
          <t>Completed</t>
        </is>
      </c>
      <c r="U46" s="94" t="inlineStr">
        <is>
          <t>Nurture campaign - Finance Teams</t>
        </is>
      </c>
    </row>
    <row r="47" ht="15" customHeight="1" s="66">
      <c r="A47" s="102" t="inlineStr">
        <is>
          <t>CAMP-2025046</t>
        </is>
      </c>
      <c r="B47" s="102" t="inlineStr">
        <is>
          <t>Email Marketing - Event Promo - Q4 Alpha</t>
        </is>
      </c>
      <c r="C47" s="102" t="inlineStr">
        <is>
          <t>Email Marketing</t>
        </is>
      </c>
      <c r="D47" s="102" t="inlineStr">
        <is>
          <t>Event Promo</t>
        </is>
      </c>
      <c r="E47" s="102" t="inlineStr">
        <is>
          <t>Q4</t>
        </is>
      </c>
      <c r="F47" s="103" t="n">
        <v>14000</v>
      </c>
      <c r="G47" s="103" t="n">
        <v>37089</v>
      </c>
      <c r="H47" s="105" t="n">
        <v>408</v>
      </c>
      <c r="I47" s="105" t="n">
        <v>62</v>
      </c>
      <c r="J47" s="105" t="n">
        <v>0</v>
      </c>
      <c r="K47" s="105" t="n">
        <v>0</v>
      </c>
      <c r="L47" s="107">
        <f>IFERROR(J47/K47,0)</f>
        <v/>
      </c>
      <c r="M47" s="108">
        <f>IFERROR(F47/J47,0)</f>
        <v/>
      </c>
      <c r="N47" s="103">
        <f>IFERROR(F47/I47,0)</f>
        <v/>
      </c>
      <c r="O47" s="106">
        <f>IFERROR((G47-F47)/F47,0)</f>
        <v/>
      </c>
      <c r="P47" s="106">
        <f>IFERROR(I47/H47,0)</f>
        <v/>
      </c>
      <c r="Q47" s="102" t="inlineStr">
        <is>
          <t>2025-06-08</t>
        </is>
      </c>
      <c r="R47" s="102" t="inlineStr">
        <is>
          <t>2025-08-23</t>
        </is>
      </c>
      <c r="S47" s="102" t="inlineStr">
        <is>
          <t>E-commerce</t>
        </is>
      </c>
      <c r="T47" s="102" t="inlineStr">
        <is>
          <t>Paused</t>
        </is>
      </c>
      <c r="U47" s="102" t="inlineStr">
        <is>
          <t>Event Promo campaign - E-commerce</t>
        </is>
      </c>
    </row>
    <row r="48" ht="15" customHeight="1" s="66">
      <c r="A48" s="94" t="inlineStr">
        <is>
          <t>CAMP-2025047</t>
        </is>
      </c>
      <c r="B48" s="94" t="inlineStr">
        <is>
          <t>SEO/Organic - Seasonal - Q4 Beta</t>
        </is>
      </c>
      <c r="C48" s="94" t="inlineStr">
        <is>
          <t>SEO/Organic</t>
        </is>
      </c>
      <c r="D48" s="94" t="inlineStr">
        <is>
          <t>Seasonal</t>
        </is>
      </c>
      <c r="E48" s="94" t="inlineStr">
        <is>
          <t>Q4</t>
        </is>
      </c>
      <c r="F48" s="95" t="n">
        <v>79000</v>
      </c>
      <c r="G48" s="95" t="n">
        <v>201687</v>
      </c>
      <c r="H48" s="97" t="n">
        <v>2122</v>
      </c>
      <c r="I48" s="97" t="n">
        <v>365</v>
      </c>
      <c r="J48" s="97" t="n">
        <v>0</v>
      </c>
      <c r="K48" s="97" t="n">
        <v>0</v>
      </c>
      <c r="L48" s="99">
        <f>IFERROR(J48/K48,0)</f>
        <v/>
      </c>
      <c r="M48" s="100">
        <f>IFERROR(F48/J48,0)</f>
        <v/>
      </c>
      <c r="N48" s="95">
        <f>IFERROR(F48/I48,0)</f>
        <v/>
      </c>
      <c r="O48" s="98">
        <f>IFERROR((G48-F48)/F48,0)</f>
        <v/>
      </c>
      <c r="P48" s="98">
        <f>IFERROR(I48/H48,0)</f>
        <v/>
      </c>
      <c r="Q48" s="94" t="inlineStr">
        <is>
          <t>2025-10-06</t>
        </is>
      </c>
      <c r="R48" s="94" t="inlineStr">
        <is>
          <t>2025-11-15</t>
        </is>
      </c>
      <c r="S48" s="94" t="inlineStr">
        <is>
          <t>Tech Startups</t>
        </is>
      </c>
      <c r="T48" s="94" t="inlineStr">
        <is>
          <t>Active</t>
        </is>
      </c>
      <c r="U48" s="94" t="inlineStr">
        <is>
          <t>Seasonal campaign - Tech Startups</t>
        </is>
      </c>
    </row>
    <row r="49" ht="15" customHeight="1" s="66">
      <c r="A49" s="102" t="inlineStr">
        <is>
          <t>CAMP-2025048</t>
        </is>
      </c>
      <c r="B49" s="102" t="inlineStr">
        <is>
          <t>Content Marketing - Upsell - Q4 Gamma</t>
        </is>
      </c>
      <c r="C49" s="102" t="inlineStr">
        <is>
          <t>Content Marketing</t>
        </is>
      </c>
      <c r="D49" s="102" t="inlineStr">
        <is>
          <t>Upsell</t>
        </is>
      </c>
      <c r="E49" s="102" t="inlineStr">
        <is>
          <t>Q4</t>
        </is>
      </c>
      <c r="F49" s="103" t="n">
        <v>30000</v>
      </c>
      <c r="G49" s="103" t="n">
        <v>128982</v>
      </c>
      <c r="H49" s="105" t="n">
        <v>922</v>
      </c>
      <c r="I49" s="105" t="n">
        <v>177</v>
      </c>
      <c r="J49" s="105" t="n">
        <v>0</v>
      </c>
      <c r="K49" s="105" t="n">
        <v>0</v>
      </c>
      <c r="L49" s="107">
        <f>IFERROR(J49/K49,0)</f>
        <v/>
      </c>
      <c r="M49" s="108">
        <f>IFERROR(F49/J49,0)</f>
        <v/>
      </c>
      <c r="N49" s="103">
        <f>IFERROR(F49/I49,0)</f>
        <v/>
      </c>
      <c r="O49" s="106">
        <f>IFERROR((G49-F49)/F49,0)</f>
        <v/>
      </c>
      <c r="P49" s="106">
        <f>IFERROR(I49/H49,0)</f>
        <v/>
      </c>
      <c r="Q49" s="102" t="inlineStr">
        <is>
          <t>2025-08-26</t>
        </is>
      </c>
      <c r="R49" s="102" t="inlineStr">
        <is>
          <t>2025-10-01</t>
        </is>
      </c>
      <c r="S49" s="102" t="inlineStr">
        <is>
          <t>Healthcare</t>
        </is>
      </c>
      <c r="T49" s="102" t="inlineStr">
        <is>
          <t>Completed</t>
        </is>
      </c>
      <c r="U49" s="102" t="inlineStr">
        <is>
          <t>Upsell campaign - Healthcare</t>
        </is>
      </c>
    </row>
    <row r="50" ht="15" customHeight="1" s="66">
      <c r="A50" s="94" t="inlineStr">
        <is>
          <t>CAMP-2025049</t>
        </is>
      </c>
      <c r="B50" s="94" t="inlineStr">
        <is>
          <t>Affiliate - Cross-sell - Q1 Delta</t>
        </is>
      </c>
      <c r="C50" s="94" t="inlineStr">
        <is>
          <t>Affiliate</t>
        </is>
      </c>
      <c r="D50" s="94" t="inlineStr">
        <is>
          <t>Cross-sell</t>
        </is>
      </c>
      <c r="E50" s="94" t="inlineStr">
        <is>
          <t>Q1</t>
        </is>
      </c>
      <c r="F50" s="95" t="n">
        <v>72000</v>
      </c>
      <c r="G50" s="95" t="n">
        <v>189106</v>
      </c>
      <c r="H50" s="97" t="n">
        <v>1886</v>
      </c>
      <c r="I50" s="97" t="n">
        <v>340</v>
      </c>
      <c r="J50" s="97" t="n">
        <v>45291</v>
      </c>
      <c r="K50" s="97" t="n">
        <v>1701214</v>
      </c>
      <c r="L50" s="99">
        <f>IFERROR(J50/K50,0)</f>
        <v/>
      </c>
      <c r="M50" s="100">
        <f>IFERROR(F50/J50,0)</f>
        <v/>
      </c>
      <c r="N50" s="95">
        <f>IFERROR(F50/I50,0)</f>
        <v/>
      </c>
      <c r="O50" s="98">
        <f>IFERROR((G50-F50)/F50,0)</f>
        <v/>
      </c>
      <c r="P50" s="98">
        <f>IFERROR(I50/H50,0)</f>
        <v/>
      </c>
      <c r="Q50" s="94" t="inlineStr">
        <is>
          <t>2025-10-31</t>
        </is>
      </c>
      <c r="R50" s="94" t="inlineStr">
        <is>
          <t>2026-01-19</t>
        </is>
      </c>
      <c r="S50" s="94" t="inlineStr">
        <is>
          <t>Retail</t>
        </is>
      </c>
      <c r="T50" s="94" t="inlineStr">
        <is>
          <t>Completed</t>
        </is>
      </c>
      <c r="U50" s="94" t="inlineStr">
        <is>
          <t>Cross-sell campaign - Retail</t>
        </is>
      </c>
    </row>
    <row r="51" ht="15" customHeight="1" s="66">
      <c r="A51" s="102" t="inlineStr">
        <is>
          <t>CAMP-2025050</t>
        </is>
      </c>
      <c r="B51" s="102" t="inlineStr">
        <is>
          <t>Influencer - Winback - Q1 Epsilon</t>
        </is>
      </c>
      <c r="C51" s="102" t="inlineStr">
        <is>
          <t>Influencer</t>
        </is>
      </c>
      <c r="D51" s="102" t="inlineStr">
        <is>
          <t>Winback</t>
        </is>
      </c>
      <c r="E51" s="102" t="inlineStr">
        <is>
          <t>Q1</t>
        </is>
      </c>
      <c r="F51" s="103" t="n">
        <v>79000</v>
      </c>
      <c r="G51" s="103" t="n">
        <v>208815</v>
      </c>
      <c r="H51" s="105" t="n">
        <v>2659</v>
      </c>
      <c r="I51" s="105" t="n">
        <v>375</v>
      </c>
      <c r="J51" s="105" t="n">
        <v>54412</v>
      </c>
      <c r="K51" s="105" t="n">
        <v>2279704</v>
      </c>
      <c r="L51" s="107">
        <f>IFERROR(J51/K51,0)</f>
        <v/>
      </c>
      <c r="M51" s="108">
        <f>IFERROR(F51/J51,0)</f>
        <v/>
      </c>
      <c r="N51" s="103">
        <f>IFERROR(F51/I51,0)</f>
        <v/>
      </c>
      <c r="O51" s="106">
        <f>IFERROR((G51-F51)/F51,0)</f>
        <v/>
      </c>
      <c r="P51" s="106">
        <f>IFERROR(I51/H51,0)</f>
        <v/>
      </c>
      <c r="Q51" s="102" t="inlineStr">
        <is>
          <t>2025-02-15</t>
        </is>
      </c>
      <c r="R51" s="102" t="inlineStr">
        <is>
          <t>2025-03-06</t>
        </is>
      </c>
      <c r="S51" s="102" t="inlineStr">
        <is>
          <t>SaaS Companies</t>
        </is>
      </c>
      <c r="T51" s="102" t="inlineStr">
        <is>
          <t>Paused</t>
        </is>
      </c>
      <c r="U51" s="102" t="inlineStr">
        <is>
          <t>Winback campaign - SaaS Companies</t>
        </is>
      </c>
    </row>
    <row r="52" ht="15" customHeight="1" s="66">
      <c r="A52" s="94" t="inlineStr">
        <is>
          <t>CAMP-2025051</t>
        </is>
      </c>
      <c r="B52" s="94" t="inlineStr">
        <is>
          <t>YouTube Ads - Brand Awareness - Q1 Alpha</t>
        </is>
      </c>
      <c r="C52" s="94" t="inlineStr">
        <is>
          <t>YouTube Ads</t>
        </is>
      </c>
      <c r="D52" s="94" t="inlineStr">
        <is>
          <t>Brand Awareness</t>
        </is>
      </c>
      <c r="E52" s="94" t="inlineStr">
        <is>
          <t>Q1</t>
        </is>
      </c>
      <c r="F52" s="95" t="n">
        <v>40000</v>
      </c>
      <c r="G52" s="95" t="n">
        <v>113410</v>
      </c>
      <c r="H52" s="97" t="n">
        <v>722</v>
      </c>
      <c r="I52" s="97" t="n">
        <v>108</v>
      </c>
      <c r="J52" s="97" t="n">
        <v>12136</v>
      </c>
      <c r="K52" s="97" t="n">
        <v>461650</v>
      </c>
      <c r="L52" s="99">
        <f>IFERROR(J52/K52,0)</f>
        <v/>
      </c>
      <c r="M52" s="100">
        <f>IFERROR(F52/J52,0)</f>
        <v/>
      </c>
      <c r="N52" s="95">
        <f>IFERROR(F52/I52,0)</f>
        <v/>
      </c>
      <c r="O52" s="98">
        <f>IFERROR((G52-F52)/F52,0)</f>
        <v/>
      </c>
      <c r="P52" s="98">
        <f>IFERROR(I52/H52,0)</f>
        <v/>
      </c>
      <c r="Q52" s="94" t="inlineStr">
        <is>
          <t>2025-08-17</t>
        </is>
      </c>
      <c r="R52" s="94" t="inlineStr">
        <is>
          <t>2025-10-07</t>
        </is>
      </c>
      <c r="S52" s="94" t="inlineStr">
        <is>
          <t>B2B Executives</t>
        </is>
      </c>
      <c r="T52" s="94" t="inlineStr">
        <is>
          <t>Planning</t>
        </is>
      </c>
      <c r="U52" s="94" t="inlineStr">
        <is>
          <t>Brand Awareness campaign - B2B Executives</t>
        </is>
      </c>
    </row>
    <row r="53" ht="15" customHeight="1" s="66">
      <c r="A53" s="102" t="inlineStr">
        <is>
          <t>CAMP-2025052</t>
        </is>
      </c>
      <c r="B53" s="102" t="inlineStr">
        <is>
          <t>Twitter/X Ads - Lead Gen - Q2 Beta</t>
        </is>
      </c>
      <c r="C53" s="102" t="inlineStr">
        <is>
          <t>Twitter/X Ads</t>
        </is>
      </c>
      <c r="D53" s="102" t="inlineStr">
        <is>
          <t>Lead Gen</t>
        </is>
      </c>
      <c r="E53" s="102" t="inlineStr">
        <is>
          <t>Q2</t>
        </is>
      </c>
      <c r="F53" s="103" t="n">
        <v>60000</v>
      </c>
      <c r="G53" s="103" t="n">
        <v>240534</v>
      </c>
      <c r="H53" s="105" t="n">
        <v>1279</v>
      </c>
      <c r="I53" s="105" t="n">
        <v>197</v>
      </c>
      <c r="J53" s="105" t="n">
        <v>53184</v>
      </c>
      <c r="K53" s="105" t="n">
        <v>2150532</v>
      </c>
      <c r="L53" s="107">
        <f>IFERROR(J53/K53,0)</f>
        <v/>
      </c>
      <c r="M53" s="108">
        <f>IFERROR(F53/J53,0)</f>
        <v/>
      </c>
      <c r="N53" s="103">
        <f>IFERROR(F53/I53,0)</f>
        <v/>
      </c>
      <c r="O53" s="106">
        <f>IFERROR((G53-F53)/F53,0)</f>
        <v/>
      </c>
      <c r="P53" s="106">
        <f>IFERROR(I53/H53,0)</f>
        <v/>
      </c>
      <c r="Q53" s="102" t="inlineStr">
        <is>
          <t>2025-10-30</t>
        </is>
      </c>
      <c r="R53" s="102" t="inlineStr">
        <is>
          <t>2025-11-16</t>
        </is>
      </c>
      <c r="S53" s="102" t="inlineStr">
        <is>
          <t>SMB Owners</t>
        </is>
      </c>
      <c r="T53" s="102" t="inlineStr">
        <is>
          <t>Paused</t>
        </is>
      </c>
      <c r="U53" s="102" t="inlineStr">
        <is>
          <t>Lead Gen campaign - SMB Owners</t>
        </is>
      </c>
    </row>
    <row r="54" ht="15" customHeight="1" s="66">
      <c r="A54" s="94" t="inlineStr">
        <is>
          <t>CAMP-2025053</t>
        </is>
      </c>
      <c r="B54" s="94" t="inlineStr">
        <is>
          <t>TikTok Ads - Retargeting - Q2 Gamma</t>
        </is>
      </c>
      <c r="C54" s="94" t="inlineStr">
        <is>
          <t>TikTok Ads</t>
        </is>
      </c>
      <c r="D54" s="94" t="inlineStr">
        <is>
          <t>Retargeting</t>
        </is>
      </c>
      <c r="E54" s="94" t="inlineStr">
        <is>
          <t>Q2</t>
        </is>
      </c>
      <c r="F54" s="95" t="n">
        <v>78000</v>
      </c>
      <c r="G54" s="95" t="n">
        <v>240207</v>
      </c>
      <c r="H54" s="97" t="n">
        <v>1535</v>
      </c>
      <c r="I54" s="97" t="n">
        <v>235</v>
      </c>
      <c r="J54" s="97" t="n">
        <v>29783</v>
      </c>
      <c r="K54" s="97" t="n">
        <v>469135</v>
      </c>
      <c r="L54" s="99">
        <f>IFERROR(J54/K54,0)</f>
        <v/>
      </c>
      <c r="M54" s="100">
        <f>IFERROR(F54/J54,0)</f>
        <v/>
      </c>
      <c r="N54" s="95">
        <f>IFERROR(F54/I54,0)</f>
        <v/>
      </c>
      <c r="O54" s="98">
        <f>IFERROR((G54-F54)/F54,0)</f>
        <v/>
      </c>
      <c r="P54" s="98">
        <f>IFERROR(I54/H54,0)</f>
        <v/>
      </c>
      <c r="Q54" s="94" t="inlineStr">
        <is>
          <t>2025-01-31</t>
        </is>
      </c>
      <c r="R54" s="94" t="inlineStr">
        <is>
          <t>2025-03-13</t>
        </is>
      </c>
      <c r="S54" s="94" t="inlineStr">
        <is>
          <t>Enterprise IT</t>
        </is>
      </c>
      <c r="T54" s="94" t="inlineStr">
        <is>
          <t>Active</t>
        </is>
      </c>
      <c r="U54" s="94" t="inlineStr">
        <is>
          <t>Retargeting campaign - Enterprise IT</t>
        </is>
      </c>
    </row>
    <row r="55" ht="15" customHeight="1" s="66">
      <c r="A55" s="102" t="inlineStr">
        <is>
          <t>CAMP-2025054</t>
        </is>
      </c>
      <c r="B55" s="102" t="inlineStr">
        <is>
          <t>Display/Banner - Product Launch - Q2 Delta</t>
        </is>
      </c>
      <c r="C55" s="102" t="inlineStr">
        <is>
          <t>Display/Banner</t>
        </is>
      </c>
      <c r="D55" s="102" t="inlineStr">
        <is>
          <t>Product Launch</t>
        </is>
      </c>
      <c r="E55" s="102" t="inlineStr">
        <is>
          <t>Q2</t>
        </is>
      </c>
      <c r="F55" s="103" t="n">
        <v>30000</v>
      </c>
      <c r="G55" s="103" t="n">
        <v>78000</v>
      </c>
      <c r="H55" s="105" t="n">
        <v>603</v>
      </c>
      <c r="I55" s="105" t="n">
        <v>125</v>
      </c>
      <c r="J55" s="105" t="n">
        <v>7372</v>
      </c>
      <c r="K55" s="105" t="n">
        <v>146026</v>
      </c>
      <c r="L55" s="107">
        <f>IFERROR(J55/K55,0)</f>
        <v/>
      </c>
      <c r="M55" s="108">
        <f>IFERROR(F55/J55,0)</f>
        <v/>
      </c>
      <c r="N55" s="103">
        <f>IFERROR(F55/I55,0)</f>
        <v/>
      </c>
      <c r="O55" s="106">
        <f>IFERROR((G55-F55)/F55,0)</f>
        <v/>
      </c>
      <c r="P55" s="106">
        <f>IFERROR(I55/H55,0)</f>
        <v/>
      </c>
      <c r="Q55" s="102" t="inlineStr">
        <is>
          <t>2025-07-03</t>
        </is>
      </c>
      <c r="R55" s="102" t="inlineStr">
        <is>
          <t>2025-08-14</t>
        </is>
      </c>
      <c r="S55" s="102" t="inlineStr">
        <is>
          <t>Marketing Leaders</t>
        </is>
      </c>
      <c r="T55" s="102" t="inlineStr">
        <is>
          <t>Active</t>
        </is>
      </c>
      <c r="U55" s="102" t="inlineStr">
        <is>
          <t>Product Launch campaign - Marketing Leaders</t>
        </is>
      </c>
    </row>
    <row r="56" ht="15" customHeight="1" s="66">
      <c r="A56" s="94" t="inlineStr">
        <is>
          <t>CAMP-2025055</t>
        </is>
      </c>
      <c r="B56" s="94" t="inlineStr">
        <is>
          <t>Podcast Ads - Nurture - Q3 Epsilon</t>
        </is>
      </c>
      <c r="C56" s="94" t="inlineStr">
        <is>
          <t>Podcast Ads</t>
        </is>
      </c>
      <c r="D56" s="94" t="inlineStr">
        <is>
          <t>Nurture</t>
        </is>
      </c>
      <c r="E56" s="94" t="inlineStr">
        <is>
          <t>Q3</t>
        </is>
      </c>
      <c r="F56" s="95" t="n">
        <v>70000</v>
      </c>
      <c r="G56" s="95" t="n">
        <v>188114</v>
      </c>
      <c r="H56" s="97" t="n">
        <v>3644</v>
      </c>
      <c r="I56" s="97" t="n">
        <v>632</v>
      </c>
      <c r="J56" s="97" t="n">
        <v>17977</v>
      </c>
      <c r="K56" s="97" t="n">
        <v>353317</v>
      </c>
      <c r="L56" s="99">
        <f>IFERROR(J56/K56,0)</f>
        <v/>
      </c>
      <c r="M56" s="100">
        <f>IFERROR(F56/J56,0)</f>
        <v/>
      </c>
      <c r="N56" s="95">
        <f>IFERROR(F56/I56,0)</f>
        <v/>
      </c>
      <c r="O56" s="98">
        <f>IFERROR((G56-F56)/F56,0)</f>
        <v/>
      </c>
      <c r="P56" s="98">
        <f>IFERROR(I56/H56,0)</f>
        <v/>
      </c>
      <c r="Q56" s="94" t="inlineStr">
        <is>
          <t>2025-03-18</t>
        </is>
      </c>
      <c r="R56" s="94" t="inlineStr">
        <is>
          <t>2025-06-07</t>
        </is>
      </c>
      <c r="S56" s="94" t="inlineStr">
        <is>
          <t>Finance Teams</t>
        </is>
      </c>
      <c r="T56" s="94" t="inlineStr">
        <is>
          <t>Active</t>
        </is>
      </c>
      <c r="U56" s="94" t="inlineStr">
        <is>
          <t>Nurture campaign - Finance Teams</t>
        </is>
      </c>
    </row>
    <row r="57" ht="15" customHeight="1" s="66">
      <c r="A57" s="102" t="inlineStr">
        <is>
          <t>CAMP-2025056</t>
        </is>
      </c>
      <c r="B57" s="102" t="inlineStr">
        <is>
          <t>Webinars - Event Promo - Q3 Alpha</t>
        </is>
      </c>
      <c r="C57" s="102" t="inlineStr">
        <is>
          <t>Webinars</t>
        </is>
      </c>
      <c r="D57" s="102" t="inlineStr">
        <is>
          <t>Event Promo</t>
        </is>
      </c>
      <c r="E57" s="102" t="inlineStr">
        <is>
          <t>Q3</t>
        </is>
      </c>
      <c r="F57" s="103" t="n">
        <v>2000</v>
      </c>
      <c r="G57" s="103" t="n">
        <v>6141</v>
      </c>
      <c r="H57" s="105" t="n">
        <v>129</v>
      </c>
      <c r="I57" s="105" t="n">
        <v>31</v>
      </c>
      <c r="J57" s="105" t="n">
        <v>1356</v>
      </c>
      <c r="K57" s="105" t="n">
        <v>112734</v>
      </c>
      <c r="L57" s="107">
        <f>IFERROR(J57/K57,0)</f>
        <v/>
      </c>
      <c r="M57" s="108">
        <f>IFERROR(F57/J57,0)</f>
        <v/>
      </c>
      <c r="N57" s="103">
        <f>IFERROR(F57/I57,0)</f>
        <v/>
      </c>
      <c r="O57" s="106">
        <f>IFERROR((G57-F57)/F57,0)</f>
        <v/>
      </c>
      <c r="P57" s="106">
        <f>IFERROR(I57/H57,0)</f>
        <v/>
      </c>
      <c r="Q57" s="102" t="inlineStr">
        <is>
          <t>2025-09-10</t>
        </is>
      </c>
      <c r="R57" s="102" t="inlineStr">
        <is>
          <t>2025-12-07</t>
        </is>
      </c>
      <c r="S57" s="102" t="inlineStr">
        <is>
          <t>E-commerce</t>
        </is>
      </c>
      <c r="T57" s="102" t="inlineStr">
        <is>
          <t>Completed</t>
        </is>
      </c>
      <c r="U57" s="102" t="inlineStr">
        <is>
          <t>Event Promo campaign - E-commerce</t>
        </is>
      </c>
    </row>
    <row r="58" ht="15" customHeight="1" s="66">
      <c r="A58" s="94" t="inlineStr">
        <is>
          <t>CAMP-2025057</t>
        </is>
      </c>
      <c r="B58" s="94" t="inlineStr">
        <is>
          <t>Google Ads - Seasonal - Q3 Beta</t>
        </is>
      </c>
      <c r="C58" s="94" t="inlineStr">
        <is>
          <t>Google Ads</t>
        </is>
      </c>
      <c r="D58" s="94" t="inlineStr">
        <is>
          <t>Seasonal</t>
        </is>
      </c>
      <c r="E58" s="94" t="inlineStr">
        <is>
          <t>Q3</t>
        </is>
      </c>
      <c r="F58" s="95" t="n">
        <v>43000</v>
      </c>
      <c r="G58" s="95" t="n">
        <v>74148</v>
      </c>
      <c r="H58" s="97" t="n">
        <v>924</v>
      </c>
      <c r="I58" s="97" t="n">
        <v>121</v>
      </c>
      <c r="J58" s="97" t="n">
        <v>10445</v>
      </c>
      <c r="K58" s="97" t="n">
        <v>307960</v>
      </c>
      <c r="L58" s="99">
        <f>IFERROR(J58/K58,0)</f>
        <v/>
      </c>
      <c r="M58" s="100">
        <f>IFERROR(F58/J58,0)</f>
        <v/>
      </c>
      <c r="N58" s="95">
        <f>IFERROR(F58/I58,0)</f>
        <v/>
      </c>
      <c r="O58" s="98">
        <f>IFERROR((G58-F58)/F58,0)</f>
        <v/>
      </c>
      <c r="P58" s="98">
        <f>IFERROR(I58/H58,0)</f>
        <v/>
      </c>
      <c r="Q58" s="94" t="inlineStr">
        <is>
          <t>2025-01-18</t>
        </is>
      </c>
      <c r="R58" s="94" t="inlineStr">
        <is>
          <t>2025-03-17</t>
        </is>
      </c>
      <c r="S58" s="94" t="inlineStr">
        <is>
          <t>Tech Startups</t>
        </is>
      </c>
      <c r="T58" s="94" t="inlineStr">
        <is>
          <t>Active</t>
        </is>
      </c>
      <c r="U58" s="94" t="inlineStr">
        <is>
          <t>Seasonal campaign - Tech Startups</t>
        </is>
      </c>
    </row>
    <row r="59" ht="15" customHeight="1" s="66">
      <c r="A59" s="102" t="inlineStr">
        <is>
          <t>CAMP-2025058</t>
        </is>
      </c>
      <c r="B59" s="102" t="inlineStr">
        <is>
          <t>Facebook Ads - Upsell - Q4 Gamma</t>
        </is>
      </c>
      <c r="C59" s="102" t="inlineStr">
        <is>
          <t>Facebook Ads</t>
        </is>
      </c>
      <c r="D59" s="102" t="inlineStr">
        <is>
          <t>Upsell</t>
        </is>
      </c>
      <c r="E59" s="102" t="inlineStr">
        <is>
          <t>Q4</t>
        </is>
      </c>
      <c r="F59" s="103" t="n">
        <v>67000</v>
      </c>
      <c r="G59" s="103" t="n">
        <v>118759</v>
      </c>
      <c r="H59" s="105" t="n">
        <v>1860</v>
      </c>
      <c r="I59" s="105" t="n">
        <v>445</v>
      </c>
      <c r="J59" s="105" t="n">
        <v>57669</v>
      </c>
      <c r="K59" s="105" t="n">
        <v>1793802</v>
      </c>
      <c r="L59" s="107">
        <f>IFERROR(J59/K59,0)</f>
        <v/>
      </c>
      <c r="M59" s="108">
        <f>IFERROR(F59/J59,0)</f>
        <v/>
      </c>
      <c r="N59" s="103">
        <f>IFERROR(F59/I59,0)</f>
        <v/>
      </c>
      <c r="O59" s="106">
        <f>IFERROR((G59-F59)/F59,0)</f>
        <v/>
      </c>
      <c r="P59" s="106">
        <f>IFERROR(I59/H59,0)</f>
        <v/>
      </c>
      <c r="Q59" s="102" t="inlineStr">
        <is>
          <t>2025-10-03</t>
        </is>
      </c>
      <c r="R59" s="102" t="inlineStr">
        <is>
          <t>2025-12-25</t>
        </is>
      </c>
      <c r="S59" s="102" t="inlineStr">
        <is>
          <t>Healthcare</t>
        </is>
      </c>
      <c r="T59" s="102" t="inlineStr">
        <is>
          <t>Completed</t>
        </is>
      </c>
      <c r="U59" s="102" t="inlineStr">
        <is>
          <t>Upsell campaign - Healthcare</t>
        </is>
      </c>
    </row>
    <row r="60" ht="15" customHeight="1" s="66">
      <c r="A60" s="94" t="inlineStr">
        <is>
          <t>CAMP-2025059</t>
        </is>
      </c>
      <c r="B60" s="94" t="inlineStr">
        <is>
          <t>LinkedIn Ads - Cross-sell - Q4 Delta</t>
        </is>
      </c>
      <c r="C60" s="94" t="inlineStr">
        <is>
          <t>LinkedIn Ads</t>
        </is>
      </c>
      <c r="D60" s="94" t="inlineStr">
        <is>
          <t>Cross-sell</t>
        </is>
      </c>
      <c r="E60" s="94" t="inlineStr">
        <is>
          <t>Q4</t>
        </is>
      </c>
      <c r="F60" s="95" t="n">
        <v>54000</v>
      </c>
      <c r="G60" s="95" t="n">
        <v>242954</v>
      </c>
      <c r="H60" s="97" t="n">
        <v>1767</v>
      </c>
      <c r="I60" s="97" t="n">
        <v>321</v>
      </c>
      <c r="J60" s="97" t="n">
        <v>30790</v>
      </c>
      <c r="K60" s="97" t="n">
        <v>390080</v>
      </c>
      <c r="L60" s="99">
        <f>IFERROR(J60/K60,0)</f>
        <v/>
      </c>
      <c r="M60" s="100">
        <f>IFERROR(F60/J60,0)</f>
        <v/>
      </c>
      <c r="N60" s="95">
        <f>IFERROR(F60/I60,0)</f>
        <v/>
      </c>
      <c r="O60" s="98">
        <f>IFERROR((G60-F60)/F60,0)</f>
        <v/>
      </c>
      <c r="P60" s="98">
        <f>IFERROR(I60/H60,0)</f>
        <v/>
      </c>
      <c r="Q60" s="94" t="inlineStr">
        <is>
          <t>2025-11-18</t>
        </is>
      </c>
      <c r="R60" s="94" t="inlineStr">
        <is>
          <t>2026-01-30</t>
        </is>
      </c>
      <c r="S60" s="94" t="inlineStr">
        <is>
          <t>Retail</t>
        </is>
      </c>
      <c r="T60" s="94" t="inlineStr">
        <is>
          <t>Active</t>
        </is>
      </c>
      <c r="U60" s="94" t="inlineStr">
        <is>
          <t>Cross-sell campaign - Retail</t>
        </is>
      </c>
    </row>
    <row r="61" ht="15" customHeight="1" s="66">
      <c r="A61" s="102" t="inlineStr">
        <is>
          <t>CAMP-2025060</t>
        </is>
      </c>
      <c r="B61" s="102" t="inlineStr">
        <is>
          <t>Email Marketing - Winback - Q4 Epsilon</t>
        </is>
      </c>
      <c r="C61" s="102" t="inlineStr">
        <is>
          <t>Email Marketing</t>
        </is>
      </c>
      <c r="D61" s="102" t="inlineStr">
        <is>
          <t>Winback</t>
        </is>
      </c>
      <c r="E61" s="102" t="inlineStr">
        <is>
          <t>Q4</t>
        </is>
      </c>
      <c r="F61" s="103" t="n">
        <v>45000</v>
      </c>
      <c r="G61" s="103" t="n">
        <v>122999</v>
      </c>
      <c r="H61" s="105" t="n">
        <v>1755</v>
      </c>
      <c r="I61" s="105" t="n">
        <v>353</v>
      </c>
      <c r="J61" s="105" t="n">
        <v>0</v>
      </c>
      <c r="K61" s="105" t="n">
        <v>0</v>
      </c>
      <c r="L61" s="107">
        <f>IFERROR(J61/K61,0)</f>
        <v/>
      </c>
      <c r="M61" s="108">
        <f>IFERROR(F61/J61,0)</f>
        <v/>
      </c>
      <c r="N61" s="103">
        <f>IFERROR(F61/I61,0)</f>
        <v/>
      </c>
      <c r="O61" s="106">
        <f>IFERROR((G61-F61)/F61,0)</f>
        <v/>
      </c>
      <c r="P61" s="106">
        <f>IFERROR(I61/H61,0)</f>
        <v/>
      </c>
      <c r="Q61" s="102" t="inlineStr">
        <is>
          <t>2025-01-09</t>
        </is>
      </c>
      <c r="R61" s="102" t="inlineStr">
        <is>
          <t>2025-03-04</t>
        </is>
      </c>
      <c r="S61" s="102" t="inlineStr">
        <is>
          <t>SaaS Companies</t>
        </is>
      </c>
      <c r="T61" s="102" t="inlineStr">
        <is>
          <t>Planning</t>
        </is>
      </c>
      <c r="U61" s="102" t="inlineStr">
        <is>
          <t>Winback campaign - SaaS Companies</t>
        </is>
      </c>
    </row>
    <row r="62" ht="15" customHeight="1" s="66">
      <c r="A62" s="94" t="inlineStr">
        <is>
          <t>CAMP-2025061</t>
        </is>
      </c>
      <c r="B62" s="94" t="inlineStr">
        <is>
          <t>SEO/Organic - Brand Awareness - Q1 Alpha</t>
        </is>
      </c>
      <c r="C62" s="94" t="inlineStr">
        <is>
          <t>SEO/Organic</t>
        </is>
      </c>
      <c r="D62" s="94" t="inlineStr">
        <is>
          <t>Brand Awareness</t>
        </is>
      </c>
      <c r="E62" s="94" t="inlineStr">
        <is>
          <t>Q1</t>
        </is>
      </c>
      <c r="F62" s="95" t="n">
        <v>76000</v>
      </c>
      <c r="G62" s="95" t="n">
        <v>180119</v>
      </c>
      <c r="H62" s="97" t="n">
        <v>1760</v>
      </c>
      <c r="I62" s="97" t="n">
        <v>251</v>
      </c>
      <c r="J62" s="97" t="n">
        <v>0</v>
      </c>
      <c r="K62" s="97" t="n">
        <v>0</v>
      </c>
      <c r="L62" s="99">
        <f>IFERROR(J62/K62,0)</f>
        <v/>
      </c>
      <c r="M62" s="100">
        <f>IFERROR(F62/J62,0)</f>
        <v/>
      </c>
      <c r="N62" s="95">
        <f>IFERROR(F62/I62,0)</f>
        <v/>
      </c>
      <c r="O62" s="98">
        <f>IFERROR((G62-F62)/F62,0)</f>
        <v/>
      </c>
      <c r="P62" s="98">
        <f>IFERROR(I62/H62,0)</f>
        <v/>
      </c>
      <c r="Q62" s="94" t="inlineStr">
        <is>
          <t>2025-05-16</t>
        </is>
      </c>
      <c r="R62" s="94" t="inlineStr">
        <is>
          <t>2025-06-28</t>
        </is>
      </c>
      <c r="S62" s="94" t="inlineStr">
        <is>
          <t>B2B Executives</t>
        </is>
      </c>
      <c r="T62" s="94" t="inlineStr">
        <is>
          <t>Paused</t>
        </is>
      </c>
      <c r="U62" s="94" t="inlineStr">
        <is>
          <t>Brand Awareness campaign - B2B Executives</t>
        </is>
      </c>
    </row>
    <row r="63" ht="15" customHeight="1" s="66">
      <c r="A63" s="102" t="inlineStr">
        <is>
          <t>CAMP-2025062</t>
        </is>
      </c>
      <c r="B63" s="102" t="inlineStr">
        <is>
          <t>Content Marketing - Lead Gen - Q1 Beta</t>
        </is>
      </c>
      <c r="C63" s="102" t="inlineStr">
        <is>
          <t>Content Marketing</t>
        </is>
      </c>
      <c r="D63" s="102" t="inlineStr">
        <is>
          <t>Lead Gen</t>
        </is>
      </c>
      <c r="E63" s="102" t="inlineStr">
        <is>
          <t>Q1</t>
        </is>
      </c>
      <c r="F63" s="103" t="n">
        <v>78000</v>
      </c>
      <c r="G63" s="103" t="n">
        <v>272205</v>
      </c>
      <c r="H63" s="105" t="n">
        <v>1741</v>
      </c>
      <c r="I63" s="105" t="n">
        <v>191</v>
      </c>
      <c r="J63" s="105" t="n">
        <v>0</v>
      </c>
      <c r="K63" s="105" t="n">
        <v>0</v>
      </c>
      <c r="L63" s="107">
        <f>IFERROR(J63/K63,0)</f>
        <v/>
      </c>
      <c r="M63" s="108">
        <f>IFERROR(F63/J63,0)</f>
        <v/>
      </c>
      <c r="N63" s="103">
        <f>IFERROR(F63/I63,0)</f>
        <v/>
      </c>
      <c r="O63" s="106">
        <f>IFERROR((G63-F63)/F63,0)</f>
        <v/>
      </c>
      <c r="P63" s="106">
        <f>IFERROR(I63/H63,0)</f>
        <v/>
      </c>
      <c r="Q63" s="102" t="inlineStr">
        <is>
          <t>2025-10-08</t>
        </is>
      </c>
      <c r="R63" s="102" t="inlineStr">
        <is>
          <t>2025-12-13</t>
        </is>
      </c>
      <c r="S63" s="102" t="inlineStr">
        <is>
          <t>SMB Owners</t>
        </is>
      </c>
      <c r="T63" s="102" t="inlineStr">
        <is>
          <t>Paused</t>
        </is>
      </c>
      <c r="U63" s="102" t="inlineStr">
        <is>
          <t>Lead Gen campaign - SMB Owners</t>
        </is>
      </c>
    </row>
    <row r="64" ht="15" customHeight="1" s="66">
      <c r="A64" s="94" t="inlineStr">
        <is>
          <t>CAMP-2025063</t>
        </is>
      </c>
      <c r="B64" s="94" t="inlineStr">
        <is>
          <t>Affiliate - Retargeting - Q1 Gamma</t>
        </is>
      </c>
      <c r="C64" s="94" t="inlineStr">
        <is>
          <t>Affiliate</t>
        </is>
      </c>
      <c r="D64" s="94" t="inlineStr">
        <is>
          <t>Retargeting</t>
        </is>
      </c>
      <c r="E64" s="94" t="inlineStr">
        <is>
          <t>Q1</t>
        </is>
      </c>
      <c r="F64" s="95" t="n">
        <v>71000</v>
      </c>
      <c r="G64" s="95" t="n">
        <v>183265</v>
      </c>
      <c r="H64" s="97" t="n">
        <v>1261</v>
      </c>
      <c r="I64" s="97" t="n">
        <v>204</v>
      </c>
      <c r="J64" s="97" t="n">
        <v>43976</v>
      </c>
      <c r="K64" s="97" t="n">
        <v>928884</v>
      </c>
      <c r="L64" s="99">
        <f>IFERROR(J64/K64,0)</f>
        <v/>
      </c>
      <c r="M64" s="100">
        <f>IFERROR(F64/J64,0)</f>
        <v/>
      </c>
      <c r="N64" s="95">
        <f>IFERROR(F64/I64,0)</f>
        <v/>
      </c>
      <c r="O64" s="98">
        <f>IFERROR((G64-F64)/F64,0)</f>
        <v/>
      </c>
      <c r="P64" s="98">
        <f>IFERROR(I64/H64,0)</f>
        <v/>
      </c>
      <c r="Q64" s="94" t="inlineStr">
        <is>
          <t>2025-03-11</t>
        </is>
      </c>
      <c r="R64" s="94" t="inlineStr">
        <is>
          <t>2025-04-05</t>
        </is>
      </c>
      <c r="S64" s="94" t="inlineStr">
        <is>
          <t>Enterprise IT</t>
        </is>
      </c>
      <c r="T64" s="94" t="inlineStr">
        <is>
          <t>Planning</t>
        </is>
      </c>
      <c r="U64" s="94" t="inlineStr">
        <is>
          <t>Retargeting campaign - Enterprise IT</t>
        </is>
      </c>
    </row>
    <row r="65" ht="15" customHeight="1" s="66">
      <c r="A65" s="102" t="inlineStr">
        <is>
          <t>CAMP-2025064</t>
        </is>
      </c>
      <c r="B65" s="102" t="inlineStr">
        <is>
          <t>Influencer - Product Launch - Q2 Delta</t>
        </is>
      </c>
      <c r="C65" s="102" t="inlineStr">
        <is>
          <t>Influencer</t>
        </is>
      </c>
      <c r="D65" s="102" t="inlineStr">
        <is>
          <t>Product Launch</t>
        </is>
      </c>
      <c r="E65" s="102" t="inlineStr">
        <is>
          <t>Q2</t>
        </is>
      </c>
      <c r="F65" s="103" t="n">
        <v>25000</v>
      </c>
      <c r="G65" s="103" t="n">
        <v>81125</v>
      </c>
      <c r="H65" s="105" t="n">
        <v>597</v>
      </c>
      <c r="I65" s="105" t="n">
        <v>90</v>
      </c>
      <c r="J65" s="105" t="n">
        <v>7064</v>
      </c>
      <c r="K65" s="105" t="n">
        <v>666332</v>
      </c>
      <c r="L65" s="107">
        <f>IFERROR(J65/K65,0)</f>
        <v/>
      </c>
      <c r="M65" s="108">
        <f>IFERROR(F65/J65,0)</f>
        <v/>
      </c>
      <c r="N65" s="103">
        <f>IFERROR(F65/I65,0)</f>
        <v/>
      </c>
      <c r="O65" s="106">
        <f>IFERROR((G65-F65)/F65,0)</f>
        <v/>
      </c>
      <c r="P65" s="106">
        <f>IFERROR(I65/H65,0)</f>
        <v/>
      </c>
      <c r="Q65" s="102" t="inlineStr">
        <is>
          <t>2025-04-04</t>
        </is>
      </c>
      <c r="R65" s="102" t="inlineStr">
        <is>
          <t>2025-05-24</t>
        </is>
      </c>
      <c r="S65" s="102" t="inlineStr">
        <is>
          <t>Marketing Leaders</t>
        </is>
      </c>
      <c r="T65" s="102" t="inlineStr">
        <is>
          <t>Completed</t>
        </is>
      </c>
      <c r="U65" s="102" t="inlineStr">
        <is>
          <t>Product Launch campaign - Marketing Leaders</t>
        </is>
      </c>
    </row>
    <row r="66" ht="15" customHeight="1" s="66">
      <c r="A66" s="94" t="inlineStr">
        <is>
          <t>CAMP-2025065</t>
        </is>
      </c>
      <c r="B66" s="94" t="inlineStr">
        <is>
          <t>YouTube Ads - Nurture - Q2 Epsilon</t>
        </is>
      </c>
      <c r="C66" s="94" t="inlineStr">
        <is>
          <t>YouTube Ads</t>
        </is>
      </c>
      <c r="D66" s="94" t="inlineStr">
        <is>
          <t>Nurture</t>
        </is>
      </c>
      <c r="E66" s="94" t="inlineStr">
        <is>
          <t>Q2</t>
        </is>
      </c>
      <c r="F66" s="95" t="n">
        <v>27000</v>
      </c>
      <c r="G66" s="95" t="n">
        <v>57872</v>
      </c>
      <c r="H66" s="97" t="n">
        <v>507</v>
      </c>
      <c r="I66" s="97" t="n">
        <v>108</v>
      </c>
      <c r="J66" s="97" t="n">
        <v>26962</v>
      </c>
      <c r="K66" s="97" t="n">
        <v>1006943</v>
      </c>
      <c r="L66" s="99">
        <f>IFERROR(J66/K66,0)</f>
        <v/>
      </c>
      <c r="M66" s="100">
        <f>IFERROR(F66/J66,0)</f>
        <v/>
      </c>
      <c r="N66" s="95">
        <f>IFERROR(F66/I66,0)</f>
        <v/>
      </c>
      <c r="O66" s="98">
        <f>IFERROR((G66-F66)/F66,0)</f>
        <v/>
      </c>
      <c r="P66" s="98">
        <f>IFERROR(I66/H66,0)</f>
        <v/>
      </c>
      <c r="Q66" s="94" t="inlineStr">
        <is>
          <t>2025-09-10</t>
        </is>
      </c>
      <c r="R66" s="94" t="inlineStr">
        <is>
          <t>2025-10-24</t>
        </is>
      </c>
      <c r="S66" s="94" t="inlineStr">
        <is>
          <t>Finance Teams</t>
        </is>
      </c>
      <c r="T66" s="94" t="inlineStr">
        <is>
          <t>Active</t>
        </is>
      </c>
      <c r="U66" s="94" t="inlineStr">
        <is>
          <t>Nurture campaign - Finance Teams</t>
        </is>
      </c>
    </row>
    <row r="67" ht="15" customHeight="1" s="66">
      <c r="A67" s="102" t="inlineStr">
        <is>
          <t>CAMP-2025066</t>
        </is>
      </c>
      <c r="B67" s="102" t="inlineStr">
        <is>
          <t>Twitter/X Ads - Event Promo - Q2 Alpha</t>
        </is>
      </c>
      <c r="C67" s="102" t="inlineStr">
        <is>
          <t>Twitter/X Ads</t>
        </is>
      </c>
      <c r="D67" s="102" t="inlineStr">
        <is>
          <t>Event Promo</t>
        </is>
      </c>
      <c r="E67" s="102" t="inlineStr">
        <is>
          <t>Q2</t>
        </is>
      </c>
      <c r="F67" s="103" t="n">
        <v>44000</v>
      </c>
      <c r="G67" s="103" t="n">
        <v>69826</v>
      </c>
      <c r="H67" s="105" t="n">
        <v>894</v>
      </c>
      <c r="I67" s="105" t="n">
        <v>145</v>
      </c>
      <c r="J67" s="105" t="n">
        <v>14353</v>
      </c>
      <c r="K67" s="105" t="n">
        <v>268257</v>
      </c>
      <c r="L67" s="107">
        <f>IFERROR(J67/K67,0)</f>
        <v/>
      </c>
      <c r="M67" s="108">
        <f>IFERROR(F67/J67,0)</f>
        <v/>
      </c>
      <c r="N67" s="103">
        <f>IFERROR(F67/I67,0)</f>
        <v/>
      </c>
      <c r="O67" s="106">
        <f>IFERROR((G67-F67)/F67,0)</f>
        <v/>
      </c>
      <c r="P67" s="106">
        <f>IFERROR(I67/H67,0)</f>
        <v/>
      </c>
      <c r="Q67" s="102" t="inlineStr">
        <is>
          <t>2025-10-21</t>
        </is>
      </c>
      <c r="R67" s="102" t="inlineStr">
        <is>
          <t>2025-12-07</t>
        </is>
      </c>
      <c r="S67" s="102" t="inlineStr">
        <is>
          <t>E-commerce</t>
        </is>
      </c>
      <c r="T67" s="102" t="inlineStr">
        <is>
          <t>Completed</t>
        </is>
      </c>
      <c r="U67" s="102" t="inlineStr">
        <is>
          <t>Event Promo campaign - E-commerce</t>
        </is>
      </c>
    </row>
    <row r="68" ht="15" customHeight="1" s="66">
      <c r="A68" s="94" t="inlineStr">
        <is>
          <t>CAMP-2025067</t>
        </is>
      </c>
      <c r="B68" s="94" t="inlineStr">
        <is>
          <t>TikTok Ads - Seasonal - Q3 Beta</t>
        </is>
      </c>
      <c r="C68" s="94" t="inlineStr">
        <is>
          <t>TikTok Ads</t>
        </is>
      </c>
      <c r="D68" s="94" t="inlineStr">
        <is>
          <t>Seasonal</t>
        </is>
      </c>
      <c r="E68" s="94" t="inlineStr">
        <is>
          <t>Q3</t>
        </is>
      </c>
      <c r="F68" s="95" t="n">
        <v>46000</v>
      </c>
      <c r="G68" s="95" t="n">
        <v>142852</v>
      </c>
      <c r="H68" s="97" t="n">
        <v>1332</v>
      </c>
      <c r="I68" s="97" t="n">
        <v>149</v>
      </c>
      <c r="J68" s="97" t="n">
        <v>11185</v>
      </c>
      <c r="K68" s="97" t="n">
        <v>292350</v>
      </c>
      <c r="L68" s="99">
        <f>IFERROR(J68/K68,0)</f>
        <v/>
      </c>
      <c r="M68" s="100">
        <f>IFERROR(F68/J68,0)</f>
        <v/>
      </c>
      <c r="N68" s="95">
        <f>IFERROR(F68/I68,0)</f>
        <v/>
      </c>
      <c r="O68" s="98">
        <f>IFERROR((G68-F68)/F68,0)</f>
        <v/>
      </c>
      <c r="P68" s="98">
        <f>IFERROR(I68/H68,0)</f>
        <v/>
      </c>
      <c r="Q68" s="94" t="inlineStr">
        <is>
          <t>2025-11-03</t>
        </is>
      </c>
      <c r="R68" s="94" t="inlineStr">
        <is>
          <t>2026-01-18</t>
        </is>
      </c>
      <c r="S68" s="94" t="inlineStr">
        <is>
          <t>Tech Startups</t>
        </is>
      </c>
      <c r="T68" s="94" t="inlineStr">
        <is>
          <t>Completed</t>
        </is>
      </c>
      <c r="U68" s="94" t="inlineStr">
        <is>
          <t>Seasonal campaign - Tech Startups</t>
        </is>
      </c>
    </row>
    <row r="69" ht="15" customHeight="1" s="66">
      <c r="A69" s="102" t="inlineStr">
        <is>
          <t>CAMP-2025068</t>
        </is>
      </c>
      <c r="B69" s="102" t="inlineStr">
        <is>
          <t>Display/Banner - Upsell - Q3 Gamma</t>
        </is>
      </c>
      <c r="C69" s="102" t="inlineStr">
        <is>
          <t>Display/Banner</t>
        </is>
      </c>
      <c r="D69" s="102" t="inlineStr">
        <is>
          <t>Upsell</t>
        </is>
      </c>
      <c r="E69" s="102" t="inlineStr">
        <is>
          <t>Q3</t>
        </is>
      </c>
      <c r="F69" s="103" t="n">
        <v>57000</v>
      </c>
      <c r="G69" s="103" t="n">
        <v>237179</v>
      </c>
      <c r="H69" s="105" t="n">
        <v>1193</v>
      </c>
      <c r="I69" s="105" t="n">
        <v>247</v>
      </c>
      <c r="J69" s="105" t="n">
        <v>17549</v>
      </c>
      <c r="K69" s="105" t="n">
        <v>617929</v>
      </c>
      <c r="L69" s="107">
        <f>IFERROR(J69/K69,0)</f>
        <v/>
      </c>
      <c r="M69" s="108">
        <f>IFERROR(F69/J69,0)</f>
        <v/>
      </c>
      <c r="N69" s="103">
        <f>IFERROR(F69/I69,0)</f>
        <v/>
      </c>
      <c r="O69" s="106">
        <f>IFERROR((G69-F69)/F69,0)</f>
        <v/>
      </c>
      <c r="P69" s="106">
        <f>IFERROR(I69/H69,0)</f>
        <v/>
      </c>
      <c r="Q69" s="102" t="inlineStr">
        <is>
          <t>2025-03-31</t>
        </is>
      </c>
      <c r="R69" s="102" t="inlineStr">
        <is>
          <t>2025-05-26</t>
        </is>
      </c>
      <c r="S69" s="102" t="inlineStr">
        <is>
          <t>Healthcare</t>
        </is>
      </c>
      <c r="T69" s="102" t="inlineStr">
        <is>
          <t>Active</t>
        </is>
      </c>
      <c r="U69" s="102" t="inlineStr">
        <is>
          <t>Upsell campaign - Healthcare</t>
        </is>
      </c>
    </row>
    <row r="70" ht="15" customHeight="1" s="66">
      <c r="A70" s="94" t="inlineStr">
        <is>
          <t>CAMP-2025069</t>
        </is>
      </c>
      <c r="B70" s="94" t="inlineStr">
        <is>
          <t>Podcast Ads - Cross-sell - Q3 Delta</t>
        </is>
      </c>
      <c r="C70" s="94" t="inlineStr">
        <is>
          <t>Podcast Ads</t>
        </is>
      </c>
      <c r="D70" s="94" t="inlineStr">
        <is>
          <t>Cross-sell</t>
        </is>
      </c>
      <c r="E70" s="94" t="inlineStr">
        <is>
          <t>Q3</t>
        </is>
      </c>
      <c r="F70" s="95" t="n">
        <v>58000</v>
      </c>
      <c r="G70" s="95" t="n">
        <v>256647</v>
      </c>
      <c r="H70" s="97" t="n">
        <v>1546</v>
      </c>
      <c r="I70" s="97" t="n">
        <v>372</v>
      </c>
      <c r="J70" s="97" t="n">
        <v>26800</v>
      </c>
      <c r="K70" s="97" t="n">
        <v>335940</v>
      </c>
      <c r="L70" s="99">
        <f>IFERROR(J70/K70,0)</f>
        <v/>
      </c>
      <c r="M70" s="100">
        <f>IFERROR(F70/J70,0)</f>
        <v/>
      </c>
      <c r="N70" s="95">
        <f>IFERROR(F70/I70,0)</f>
        <v/>
      </c>
      <c r="O70" s="98">
        <f>IFERROR((G70-F70)/F70,0)</f>
        <v/>
      </c>
      <c r="P70" s="98">
        <f>IFERROR(I70/H70,0)</f>
        <v/>
      </c>
      <c r="Q70" s="94" t="inlineStr">
        <is>
          <t>2025-01-15</t>
        </is>
      </c>
      <c r="R70" s="94" t="inlineStr">
        <is>
          <t>2025-01-30</t>
        </is>
      </c>
      <c r="S70" s="94" t="inlineStr">
        <is>
          <t>Retail</t>
        </is>
      </c>
      <c r="T70" s="94" t="inlineStr">
        <is>
          <t>Completed</t>
        </is>
      </c>
      <c r="U70" s="94" t="inlineStr">
        <is>
          <t>Cross-sell campaign - Retail</t>
        </is>
      </c>
    </row>
    <row r="71" ht="15" customHeight="1" s="66">
      <c r="A71" s="102" t="inlineStr">
        <is>
          <t>CAMP-2025070</t>
        </is>
      </c>
      <c r="B71" s="102" t="inlineStr">
        <is>
          <t>Webinars - Winback - Q4 Epsilon</t>
        </is>
      </c>
      <c r="C71" s="102" t="inlineStr">
        <is>
          <t>Webinars</t>
        </is>
      </c>
      <c r="D71" s="102" t="inlineStr">
        <is>
          <t>Winback</t>
        </is>
      </c>
      <c r="E71" s="102" t="inlineStr">
        <is>
          <t>Q4</t>
        </is>
      </c>
      <c r="F71" s="103" t="n">
        <v>42000</v>
      </c>
      <c r="G71" s="103" t="n">
        <v>129157</v>
      </c>
      <c r="H71" s="105" t="n">
        <v>875</v>
      </c>
      <c r="I71" s="105" t="n">
        <v>84</v>
      </c>
      <c r="J71" s="105" t="n">
        <v>9637</v>
      </c>
      <c r="K71" s="105" t="n">
        <v>367515</v>
      </c>
      <c r="L71" s="107">
        <f>IFERROR(J71/K71,0)</f>
        <v/>
      </c>
      <c r="M71" s="108">
        <f>IFERROR(F71/J71,0)</f>
        <v/>
      </c>
      <c r="N71" s="103">
        <f>IFERROR(F71/I71,0)</f>
        <v/>
      </c>
      <c r="O71" s="106">
        <f>IFERROR((G71-F71)/F71,0)</f>
        <v/>
      </c>
      <c r="P71" s="106">
        <f>IFERROR(I71/H71,0)</f>
        <v/>
      </c>
      <c r="Q71" s="102" t="inlineStr">
        <is>
          <t>2025-10-13</t>
        </is>
      </c>
      <c r="R71" s="102" t="inlineStr">
        <is>
          <t>2025-11-24</t>
        </is>
      </c>
      <c r="S71" s="102" t="inlineStr">
        <is>
          <t>SaaS Companies</t>
        </is>
      </c>
      <c r="T71" s="102" t="inlineStr">
        <is>
          <t>Completed</t>
        </is>
      </c>
      <c r="U71" s="102" t="inlineStr">
        <is>
          <t>Winback campaign - SaaS Companies</t>
        </is>
      </c>
    </row>
    <row r="72" ht="15" customHeight="1" s="66">
      <c r="A72" s="94" t="inlineStr">
        <is>
          <t>CAMP-2025071</t>
        </is>
      </c>
      <c r="B72" s="94" t="inlineStr">
        <is>
          <t>Google Ads - Brand Awareness - Q4 Alpha</t>
        </is>
      </c>
      <c r="C72" s="94" t="inlineStr">
        <is>
          <t>Google Ads</t>
        </is>
      </c>
      <c r="D72" s="94" t="inlineStr">
        <is>
          <t>Brand Awareness</t>
        </is>
      </c>
      <c r="E72" s="94" t="inlineStr">
        <is>
          <t>Q4</t>
        </is>
      </c>
      <c r="F72" s="95" t="n">
        <v>76000</v>
      </c>
      <c r="G72" s="95" t="n">
        <v>242539</v>
      </c>
      <c r="H72" s="97" t="n">
        <v>1530</v>
      </c>
      <c r="I72" s="97" t="n">
        <v>346</v>
      </c>
      <c r="J72" s="97" t="n">
        <v>25716</v>
      </c>
      <c r="K72" s="97" t="n">
        <v>403131</v>
      </c>
      <c r="L72" s="99">
        <f>IFERROR(J72/K72,0)</f>
        <v/>
      </c>
      <c r="M72" s="100">
        <f>IFERROR(F72/J72,0)</f>
        <v/>
      </c>
      <c r="N72" s="95">
        <f>IFERROR(F72/I72,0)</f>
        <v/>
      </c>
      <c r="O72" s="98">
        <f>IFERROR((G72-F72)/F72,0)</f>
        <v/>
      </c>
      <c r="P72" s="98">
        <f>IFERROR(I72/H72,0)</f>
        <v/>
      </c>
      <c r="Q72" s="94" t="inlineStr">
        <is>
          <t>2025-03-19</t>
        </is>
      </c>
      <c r="R72" s="94" t="inlineStr">
        <is>
          <t>2025-06-01</t>
        </is>
      </c>
      <c r="S72" s="94" t="inlineStr">
        <is>
          <t>B2B Executives</t>
        </is>
      </c>
      <c r="T72" s="94" t="inlineStr">
        <is>
          <t>Active</t>
        </is>
      </c>
      <c r="U72" s="94" t="inlineStr">
        <is>
          <t>Brand Awareness campaign - B2B Executives</t>
        </is>
      </c>
    </row>
    <row r="73" ht="15" customHeight="1" s="66">
      <c r="A73" s="102" t="inlineStr">
        <is>
          <t>CAMP-2025072</t>
        </is>
      </c>
      <c r="B73" s="102" t="inlineStr">
        <is>
          <t>Facebook Ads - Lead Gen - Q4 Beta</t>
        </is>
      </c>
      <c r="C73" s="102" t="inlineStr">
        <is>
          <t>Facebook Ads</t>
        </is>
      </c>
      <c r="D73" s="102" t="inlineStr">
        <is>
          <t>Lead Gen</t>
        </is>
      </c>
      <c r="E73" s="102" t="inlineStr">
        <is>
          <t>Q4</t>
        </is>
      </c>
      <c r="F73" s="103" t="n">
        <v>4000</v>
      </c>
      <c r="G73" s="103" t="n">
        <v>10991</v>
      </c>
      <c r="H73" s="105" t="n">
        <v>113</v>
      </c>
      <c r="I73" s="105" t="n">
        <v>27</v>
      </c>
      <c r="J73" s="105" t="n">
        <v>1205</v>
      </c>
      <c r="K73" s="105" t="n">
        <v>19723</v>
      </c>
      <c r="L73" s="107">
        <f>IFERROR(J73/K73,0)</f>
        <v/>
      </c>
      <c r="M73" s="108">
        <f>IFERROR(F73/J73,0)</f>
        <v/>
      </c>
      <c r="N73" s="103">
        <f>IFERROR(F73/I73,0)</f>
        <v/>
      </c>
      <c r="O73" s="106">
        <f>IFERROR((G73-F73)/F73,0)</f>
        <v/>
      </c>
      <c r="P73" s="106">
        <f>IFERROR(I73/H73,0)</f>
        <v/>
      </c>
      <c r="Q73" s="102" t="inlineStr">
        <is>
          <t>2025-04-29</t>
        </is>
      </c>
      <c r="R73" s="102" t="inlineStr">
        <is>
          <t>2025-05-22</t>
        </is>
      </c>
      <c r="S73" s="102" t="inlineStr">
        <is>
          <t>SMB Owners</t>
        </is>
      </c>
      <c r="T73" s="102" t="inlineStr">
        <is>
          <t>Active</t>
        </is>
      </c>
      <c r="U73" s="102" t="inlineStr">
        <is>
          <t>Lead Gen campaign - SMB Owners</t>
        </is>
      </c>
    </row>
    <row r="74" ht="15" customHeight="1" s="66">
      <c r="A74" s="94" t="inlineStr">
        <is>
          <t>CAMP-2025073</t>
        </is>
      </c>
      <c r="B74" s="94" t="inlineStr">
        <is>
          <t>LinkedIn Ads - Retargeting - Q1 Gamma</t>
        </is>
      </c>
      <c r="C74" s="94" t="inlineStr">
        <is>
          <t>LinkedIn Ads</t>
        </is>
      </c>
      <c r="D74" s="94" t="inlineStr">
        <is>
          <t>Retargeting</t>
        </is>
      </c>
      <c r="E74" s="94" t="inlineStr">
        <is>
          <t>Q1</t>
        </is>
      </c>
      <c r="F74" s="95" t="n">
        <v>38000</v>
      </c>
      <c r="G74" s="95" t="n">
        <v>166679</v>
      </c>
      <c r="H74" s="97" t="n">
        <v>674</v>
      </c>
      <c r="I74" s="97" t="n">
        <v>131</v>
      </c>
      <c r="J74" s="97" t="n">
        <v>12524</v>
      </c>
      <c r="K74" s="97" t="n">
        <v>247133</v>
      </c>
      <c r="L74" s="99">
        <f>IFERROR(J74/K74,0)</f>
        <v/>
      </c>
      <c r="M74" s="100">
        <f>IFERROR(F74/J74,0)</f>
        <v/>
      </c>
      <c r="N74" s="95">
        <f>IFERROR(F74/I74,0)</f>
        <v/>
      </c>
      <c r="O74" s="98">
        <f>IFERROR((G74-F74)/F74,0)</f>
        <v/>
      </c>
      <c r="P74" s="98">
        <f>IFERROR(I74/H74,0)</f>
        <v/>
      </c>
      <c r="Q74" s="94" t="inlineStr">
        <is>
          <t>2025-02-17</t>
        </is>
      </c>
      <c r="R74" s="94" t="inlineStr">
        <is>
          <t>2025-04-01</t>
        </is>
      </c>
      <c r="S74" s="94" t="inlineStr">
        <is>
          <t>Enterprise IT</t>
        </is>
      </c>
      <c r="T74" s="94" t="inlineStr">
        <is>
          <t>Completed</t>
        </is>
      </c>
      <c r="U74" s="94" t="inlineStr">
        <is>
          <t>Retargeting campaign - Enterprise IT</t>
        </is>
      </c>
    </row>
    <row r="75" ht="15" customHeight="1" s="66">
      <c r="A75" s="102" t="inlineStr">
        <is>
          <t>CAMP-2025074</t>
        </is>
      </c>
      <c r="B75" s="102" t="inlineStr">
        <is>
          <t>Email Marketing - Product Launch - Q1 Delta</t>
        </is>
      </c>
      <c r="C75" s="102" t="inlineStr">
        <is>
          <t>Email Marketing</t>
        </is>
      </c>
      <c r="D75" s="102" t="inlineStr">
        <is>
          <t>Product Launch</t>
        </is>
      </c>
      <c r="E75" s="102" t="inlineStr">
        <is>
          <t>Q1</t>
        </is>
      </c>
      <c r="F75" s="103" t="n">
        <v>27000</v>
      </c>
      <c r="G75" s="103" t="n">
        <v>78207</v>
      </c>
      <c r="H75" s="105" t="n">
        <v>822</v>
      </c>
      <c r="I75" s="105" t="n">
        <v>78</v>
      </c>
      <c r="J75" s="105" t="n">
        <v>0</v>
      </c>
      <c r="K75" s="105" t="n">
        <v>0</v>
      </c>
      <c r="L75" s="107">
        <f>IFERROR(J75/K75,0)</f>
        <v/>
      </c>
      <c r="M75" s="108">
        <f>IFERROR(F75/J75,0)</f>
        <v/>
      </c>
      <c r="N75" s="103">
        <f>IFERROR(F75/I75,0)</f>
        <v/>
      </c>
      <c r="O75" s="106">
        <f>IFERROR((G75-F75)/F75,0)</f>
        <v/>
      </c>
      <c r="P75" s="106">
        <f>IFERROR(I75/H75,0)</f>
        <v/>
      </c>
      <c r="Q75" s="102" t="inlineStr">
        <is>
          <t>2025-02-11</t>
        </is>
      </c>
      <c r="R75" s="102" t="inlineStr">
        <is>
          <t>2025-03-05</t>
        </is>
      </c>
      <c r="S75" s="102" t="inlineStr">
        <is>
          <t>Marketing Leaders</t>
        </is>
      </c>
      <c r="T75" s="102" t="inlineStr">
        <is>
          <t>Active</t>
        </is>
      </c>
      <c r="U75" s="102" t="inlineStr">
        <is>
          <t>Product Launch campaign - Marketing Leaders</t>
        </is>
      </c>
    </row>
    <row r="76" ht="15" customHeight="1" s="66">
      <c r="A76" s="94" t="inlineStr">
        <is>
          <t>CAMP-2025075</t>
        </is>
      </c>
      <c r="B76" s="94" t="inlineStr">
        <is>
          <t>SEO/Organic - Nurture - Q1 Epsilon</t>
        </is>
      </c>
      <c r="C76" s="94" t="inlineStr">
        <is>
          <t>SEO/Organic</t>
        </is>
      </c>
      <c r="D76" s="94" t="inlineStr">
        <is>
          <t>Nurture</t>
        </is>
      </c>
      <c r="E76" s="94" t="inlineStr">
        <is>
          <t>Q1</t>
        </is>
      </c>
      <c r="F76" s="95" t="n">
        <v>65000</v>
      </c>
      <c r="G76" s="95" t="n">
        <v>240053</v>
      </c>
      <c r="H76" s="97" t="n">
        <v>1984</v>
      </c>
      <c r="I76" s="97" t="n">
        <v>186</v>
      </c>
      <c r="J76" s="97" t="n">
        <v>0</v>
      </c>
      <c r="K76" s="97" t="n">
        <v>0</v>
      </c>
      <c r="L76" s="99">
        <f>IFERROR(J76/K76,0)</f>
        <v/>
      </c>
      <c r="M76" s="100">
        <f>IFERROR(F76/J76,0)</f>
        <v/>
      </c>
      <c r="N76" s="95">
        <f>IFERROR(F76/I76,0)</f>
        <v/>
      </c>
      <c r="O76" s="98">
        <f>IFERROR((G76-F76)/F76,0)</f>
        <v/>
      </c>
      <c r="P76" s="98">
        <f>IFERROR(I76/H76,0)</f>
        <v/>
      </c>
      <c r="Q76" s="94" t="inlineStr">
        <is>
          <t>2025-05-16</t>
        </is>
      </c>
      <c r="R76" s="94" t="inlineStr">
        <is>
          <t>2025-05-30</t>
        </is>
      </c>
      <c r="S76" s="94" t="inlineStr">
        <is>
          <t>Finance Teams</t>
        </is>
      </c>
      <c r="T76" s="94" t="inlineStr">
        <is>
          <t>Completed</t>
        </is>
      </c>
      <c r="U76" s="94" t="inlineStr">
        <is>
          <t>Nurture campaign - Finance Teams</t>
        </is>
      </c>
    </row>
    <row r="77" ht="15" customHeight="1" s="66">
      <c r="A77" s="102" t="inlineStr">
        <is>
          <t>CAMP-2025076</t>
        </is>
      </c>
      <c r="B77" s="102" t="inlineStr">
        <is>
          <t>Content Marketing - Event Promo - Q2 Alpha</t>
        </is>
      </c>
      <c r="C77" s="102" t="inlineStr">
        <is>
          <t>Content Marketing</t>
        </is>
      </c>
      <c r="D77" s="102" t="inlineStr">
        <is>
          <t>Event Promo</t>
        </is>
      </c>
      <c r="E77" s="102" t="inlineStr">
        <is>
          <t>Q2</t>
        </is>
      </c>
      <c r="F77" s="103" t="n">
        <v>50000</v>
      </c>
      <c r="G77" s="103" t="n">
        <v>209443</v>
      </c>
      <c r="H77" s="105" t="n">
        <v>901</v>
      </c>
      <c r="I77" s="105" t="n">
        <v>133</v>
      </c>
      <c r="J77" s="105" t="n">
        <v>0</v>
      </c>
      <c r="K77" s="105" t="n">
        <v>0</v>
      </c>
      <c r="L77" s="107">
        <f>IFERROR(J77/K77,0)</f>
        <v/>
      </c>
      <c r="M77" s="108">
        <f>IFERROR(F77/J77,0)</f>
        <v/>
      </c>
      <c r="N77" s="103">
        <f>IFERROR(F77/I77,0)</f>
        <v/>
      </c>
      <c r="O77" s="106">
        <f>IFERROR((G77-F77)/F77,0)</f>
        <v/>
      </c>
      <c r="P77" s="106">
        <f>IFERROR(I77/H77,0)</f>
        <v/>
      </c>
      <c r="Q77" s="102" t="inlineStr">
        <is>
          <t>2025-02-01</t>
        </is>
      </c>
      <c r="R77" s="102" t="inlineStr">
        <is>
          <t>2025-02-24</t>
        </is>
      </c>
      <c r="S77" s="102" t="inlineStr">
        <is>
          <t>E-commerce</t>
        </is>
      </c>
      <c r="T77" s="102" t="inlineStr">
        <is>
          <t>Active</t>
        </is>
      </c>
      <c r="U77" s="102" t="inlineStr">
        <is>
          <t>Event Promo campaign - E-commerce</t>
        </is>
      </c>
    </row>
    <row r="78" ht="15" customHeight="1" s="66">
      <c r="A78" s="94" t="inlineStr">
        <is>
          <t>CAMP-2025077</t>
        </is>
      </c>
      <c r="B78" s="94" t="inlineStr">
        <is>
          <t>Affiliate - Seasonal - Q2 Beta</t>
        </is>
      </c>
      <c r="C78" s="94" t="inlineStr">
        <is>
          <t>Affiliate</t>
        </is>
      </c>
      <c r="D78" s="94" t="inlineStr">
        <is>
          <t>Seasonal</t>
        </is>
      </c>
      <c r="E78" s="94" t="inlineStr">
        <is>
          <t>Q2</t>
        </is>
      </c>
      <c r="F78" s="95" t="n">
        <v>28000</v>
      </c>
      <c r="G78" s="95" t="n">
        <v>45577</v>
      </c>
      <c r="H78" s="97" t="n">
        <v>570</v>
      </c>
      <c r="I78" s="97" t="n">
        <v>91</v>
      </c>
      <c r="J78" s="97" t="n">
        <v>9699</v>
      </c>
      <c r="K78" s="97" t="n">
        <v>371176</v>
      </c>
      <c r="L78" s="99">
        <f>IFERROR(J78/K78,0)</f>
        <v/>
      </c>
      <c r="M78" s="100">
        <f>IFERROR(F78/J78,0)</f>
        <v/>
      </c>
      <c r="N78" s="95">
        <f>IFERROR(F78/I78,0)</f>
        <v/>
      </c>
      <c r="O78" s="98">
        <f>IFERROR((G78-F78)/F78,0)</f>
        <v/>
      </c>
      <c r="P78" s="98">
        <f>IFERROR(I78/H78,0)</f>
        <v/>
      </c>
      <c r="Q78" s="94" t="inlineStr">
        <is>
          <t>2025-09-13</t>
        </is>
      </c>
      <c r="R78" s="94" t="inlineStr">
        <is>
          <t>2025-11-14</t>
        </is>
      </c>
      <c r="S78" s="94" t="inlineStr">
        <is>
          <t>Tech Startups</t>
        </is>
      </c>
      <c r="T78" s="94" t="inlineStr">
        <is>
          <t>Completed</t>
        </is>
      </c>
      <c r="U78" s="94" t="inlineStr">
        <is>
          <t>Seasonal campaign - Tech Startups</t>
        </is>
      </c>
    </row>
    <row r="79" ht="15" customHeight="1" s="66">
      <c r="A79" s="102" t="inlineStr">
        <is>
          <t>CAMP-2025078</t>
        </is>
      </c>
      <c r="B79" s="102" t="inlineStr">
        <is>
          <t>Influencer - Upsell - Q2 Gamma</t>
        </is>
      </c>
      <c r="C79" s="102" t="inlineStr">
        <is>
          <t>Influencer</t>
        </is>
      </c>
      <c r="D79" s="102" t="inlineStr">
        <is>
          <t>Upsell</t>
        </is>
      </c>
      <c r="E79" s="102" t="inlineStr">
        <is>
          <t>Q2</t>
        </is>
      </c>
      <c r="F79" s="103" t="n">
        <v>32000</v>
      </c>
      <c r="G79" s="103" t="n">
        <v>127269</v>
      </c>
      <c r="H79" s="105" t="n">
        <v>1952</v>
      </c>
      <c r="I79" s="105" t="n">
        <v>470</v>
      </c>
      <c r="J79" s="105" t="n">
        <v>11048</v>
      </c>
      <c r="K79" s="105" t="n">
        <v>156805</v>
      </c>
      <c r="L79" s="107">
        <f>IFERROR(J79/K79,0)</f>
        <v/>
      </c>
      <c r="M79" s="108">
        <f>IFERROR(F79/J79,0)</f>
        <v/>
      </c>
      <c r="N79" s="103">
        <f>IFERROR(F79/I79,0)</f>
        <v/>
      </c>
      <c r="O79" s="106">
        <f>IFERROR((G79-F79)/F79,0)</f>
        <v/>
      </c>
      <c r="P79" s="106">
        <f>IFERROR(I79/H79,0)</f>
        <v/>
      </c>
      <c r="Q79" s="102" t="inlineStr">
        <is>
          <t>2025-04-24</t>
        </is>
      </c>
      <c r="R79" s="102" t="inlineStr">
        <is>
          <t>2025-06-19</t>
        </is>
      </c>
      <c r="S79" s="102" t="inlineStr">
        <is>
          <t>Healthcare</t>
        </is>
      </c>
      <c r="T79" s="102" t="inlineStr">
        <is>
          <t>Paused</t>
        </is>
      </c>
      <c r="U79" s="102" t="inlineStr">
        <is>
          <t>Upsell campaign - Healthcare</t>
        </is>
      </c>
    </row>
    <row r="80" ht="15" customHeight="1" s="66">
      <c r="A80" s="94" t="inlineStr">
        <is>
          <t>CAMP-2025079</t>
        </is>
      </c>
      <c r="B80" s="94" t="inlineStr">
        <is>
          <t>YouTube Ads - Cross-sell - Q3 Delta</t>
        </is>
      </c>
      <c r="C80" s="94" t="inlineStr">
        <is>
          <t>YouTube Ads</t>
        </is>
      </c>
      <c r="D80" s="94" t="inlineStr">
        <is>
          <t>Cross-sell</t>
        </is>
      </c>
      <c r="E80" s="94" t="inlineStr">
        <is>
          <t>Q3</t>
        </is>
      </c>
      <c r="F80" s="95" t="n">
        <v>12000</v>
      </c>
      <c r="G80" s="95" t="n">
        <v>24036</v>
      </c>
      <c r="H80" s="97" t="n">
        <v>574</v>
      </c>
      <c r="I80" s="97" t="n">
        <v>109</v>
      </c>
      <c r="J80" s="97" t="n">
        <v>3385</v>
      </c>
      <c r="K80" s="97" t="n">
        <v>97433</v>
      </c>
      <c r="L80" s="99">
        <f>IFERROR(J80/K80,0)</f>
        <v/>
      </c>
      <c r="M80" s="100">
        <f>IFERROR(F80/J80,0)</f>
        <v/>
      </c>
      <c r="N80" s="95">
        <f>IFERROR(F80/I80,0)</f>
        <v/>
      </c>
      <c r="O80" s="98">
        <f>IFERROR((G80-F80)/F80,0)</f>
        <v/>
      </c>
      <c r="P80" s="98">
        <f>IFERROR(I80/H80,0)</f>
        <v/>
      </c>
      <c r="Q80" s="94" t="inlineStr">
        <is>
          <t>2025-05-14</t>
        </is>
      </c>
      <c r="R80" s="94" t="inlineStr">
        <is>
          <t>2025-06-03</t>
        </is>
      </c>
      <c r="S80" s="94" t="inlineStr">
        <is>
          <t>Retail</t>
        </is>
      </c>
      <c r="T80" s="94" t="inlineStr">
        <is>
          <t>Active</t>
        </is>
      </c>
      <c r="U80" s="94" t="inlineStr">
        <is>
          <t>Cross-sell campaign - Retail</t>
        </is>
      </c>
    </row>
    <row r="81" ht="15" customHeight="1" s="66">
      <c r="A81" s="102" t="inlineStr">
        <is>
          <t>CAMP-2025080</t>
        </is>
      </c>
      <c r="B81" s="102" t="inlineStr">
        <is>
          <t>Twitter/X Ads - Winback - Q3 Epsilon</t>
        </is>
      </c>
      <c r="C81" s="102" t="inlineStr">
        <is>
          <t>Twitter/X Ads</t>
        </is>
      </c>
      <c r="D81" s="102" t="inlineStr">
        <is>
          <t>Winback</t>
        </is>
      </c>
      <c r="E81" s="102" t="inlineStr">
        <is>
          <t>Q3</t>
        </is>
      </c>
      <c r="F81" s="103" t="n">
        <v>78000</v>
      </c>
      <c r="G81" s="103" t="n">
        <v>281636</v>
      </c>
      <c r="H81" s="105" t="n">
        <v>2252</v>
      </c>
      <c r="I81" s="105" t="n">
        <v>210</v>
      </c>
      <c r="J81" s="105" t="n">
        <v>42520</v>
      </c>
      <c r="K81" s="105" t="n">
        <v>1229472</v>
      </c>
      <c r="L81" s="107">
        <f>IFERROR(J81/K81,0)</f>
        <v/>
      </c>
      <c r="M81" s="108">
        <f>IFERROR(F81/J81,0)</f>
        <v/>
      </c>
      <c r="N81" s="103">
        <f>IFERROR(F81/I81,0)</f>
        <v/>
      </c>
      <c r="O81" s="106">
        <f>IFERROR((G81-F81)/F81,0)</f>
        <v/>
      </c>
      <c r="P81" s="106">
        <f>IFERROR(I81/H81,0)</f>
        <v/>
      </c>
      <c r="Q81" s="102" t="inlineStr">
        <is>
          <t>2025-07-28</t>
        </is>
      </c>
      <c r="R81" s="102" t="inlineStr">
        <is>
          <t>2025-08-23</t>
        </is>
      </c>
      <c r="S81" s="102" t="inlineStr">
        <is>
          <t>SaaS Companies</t>
        </is>
      </c>
      <c r="T81" s="102" t="inlineStr">
        <is>
          <t>Completed</t>
        </is>
      </c>
      <c r="U81" s="102" t="inlineStr">
        <is>
          <t>Winback campaign - SaaS Companies</t>
        </is>
      </c>
    </row>
    <row r="82" ht="15" customHeight="1" s="66">
      <c r="A82" s="94" t="inlineStr">
        <is>
          <t>CAMP-2025081</t>
        </is>
      </c>
      <c r="B82" s="94" t="inlineStr">
        <is>
          <t>TikTok Ads - Brand Awareness - Q3 Alpha</t>
        </is>
      </c>
      <c r="C82" s="94" t="inlineStr">
        <is>
          <t>TikTok Ads</t>
        </is>
      </c>
      <c r="D82" s="94" t="inlineStr">
        <is>
          <t>Brand Awareness</t>
        </is>
      </c>
      <c r="E82" s="94" t="inlineStr">
        <is>
          <t>Q3</t>
        </is>
      </c>
      <c r="F82" s="95" t="n">
        <v>64000</v>
      </c>
      <c r="G82" s="95" t="n">
        <v>129130</v>
      </c>
      <c r="H82" s="97" t="n">
        <v>2749</v>
      </c>
      <c r="I82" s="97" t="n">
        <v>563</v>
      </c>
      <c r="J82" s="97" t="n">
        <v>73541</v>
      </c>
      <c r="K82" s="97" t="n">
        <v>1627125</v>
      </c>
      <c r="L82" s="99">
        <f>IFERROR(J82/K82,0)</f>
        <v/>
      </c>
      <c r="M82" s="100">
        <f>IFERROR(F82/J82,0)</f>
        <v/>
      </c>
      <c r="N82" s="95">
        <f>IFERROR(F82/I82,0)</f>
        <v/>
      </c>
      <c r="O82" s="98">
        <f>IFERROR((G82-F82)/F82,0)</f>
        <v/>
      </c>
      <c r="P82" s="98">
        <f>IFERROR(I82/H82,0)</f>
        <v/>
      </c>
      <c r="Q82" s="94" t="inlineStr">
        <is>
          <t>2025-04-25</t>
        </is>
      </c>
      <c r="R82" s="94" t="inlineStr">
        <is>
          <t>2025-07-21</t>
        </is>
      </c>
      <c r="S82" s="94" t="inlineStr">
        <is>
          <t>B2B Executives</t>
        </is>
      </c>
      <c r="T82" s="94" t="inlineStr">
        <is>
          <t>Planning</t>
        </is>
      </c>
      <c r="U82" s="94" t="inlineStr">
        <is>
          <t>Brand Awareness campaign - B2B Executives</t>
        </is>
      </c>
    </row>
    <row r="83" ht="15" customHeight="1" s="66">
      <c r="A83" s="102" t="inlineStr">
        <is>
          <t>CAMP-2025082</t>
        </is>
      </c>
      <c r="B83" s="102" t="inlineStr">
        <is>
          <t>Display/Banner - Lead Gen - Q4 Beta</t>
        </is>
      </c>
      <c r="C83" s="102" t="inlineStr">
        <is>
          <t>Display/Banner</t>
        </is>
      </c>
      <c r="D83" s="102" t="inlineStr">
        <is>
          <t>Lead Gen</t>
        </is>
      </c>
      <c r="E83" s="102" t="inlineStr">
        <is>
          <t>Q4</t>
        </is>
      </c>
      <c r="F83" s="103" t="n">
        <v>43000</v>
      </c>
      <c r="G83" s="103" t="n">
        <v>126383</v>
      </c>
      <c r="H83" s="105" t="n">
        <v>2480</v>
      </c>
      <c r="I83" s="105" t="n">
        <v>459</v>
      </c>
      <c r="J83" s="105" t="n">
        <v>16467</v>
      </c>
      <c r="K83" s="105" t="n">
        <v>355902</v>
      </c>
      <c r="L83" s="107">
        <f>IFERROR(J83/K83,0)</f>
        <v/>
      </c>
      <c r="M83" s="108">
        <f>IFERROR(F83/J83,0)</f>
        <v/>
      </c>
      <c r="N83" s="103">
        <f>IFERROR(F83/I83,0)</f>
        <v/>
      </c>
      <c r="O83" s="106">
        <f>IFERROR((G83-F83)/F83,0)</f>
        <v/>
      </c>
      <c r="P83" s="106">
        <f>IFERROR(I83/H83,0)</f>
        <v/>
      </c>
      <c r="Q83" s="102" t="inlineStr">
        <is>
          <t>2025-04-04</t>
        </is>
      </c>
      <c r="R83" s="102" t="inlineStr">
        <is>
          <t>2025-05-13</t>
        </is>
      </c>
      <c r="S83" s="102" t="inlineStr">
        <is>
          <t>SMB Owners</t>
        </is>
      </c>
      <c r="T83" s="102" t="inlineStr">
        <is>
          <t>Active</t>
        </is>
      </c>
      <c r="U83" s="102" t="inlineStr">
        <is>
          <t>Lead Gen campaign - SMB Owners</t>
        </is>
      </c>
    </row>
    <row r="84" ht="15" customHeight="1" s="66">
      <c r="A84" s="94" t="inlineStr">
        <is>
          <t>CAMP-2025083</t>
        </is>
      </c>
      <c r="B84" s="94" t="inlineStr">
        <is>
          <t>Podcast Ads - Retargeting - Q4 Gamma</t>
        </is>
      </c>
      <c r="C84" s="94" t="inlineStr">
        <is>
          <t>Podcast Ads</t>
        </is>
      </c>
      <c r="D84" s="94" t="inlineStr">
        <is>
          <t>Retargeting</t>
        </is>
      </c>
      <c r="E84" s="94" t="inlineStr">
        <is>
          <t>Q4</t>
        </is>
      </c>
      <c r="F84" s="95" t="n">
        <v>30000</v>
      </c>
      <c r="G84" s="95" t="n">
        <v>84783</v>
      </c>
      <c r="H84" s="97" t="n">
        <v>512</v>
      </c>
      <c r="I84" s="97" t="n">
        <v>123</v>
      </c>
      <c r="J84" s="97" t="n">
        <v>10624</v>
      </c>
      <c r="K84" s="97" t="n">
        <v>214914</v>
      </c>
      <c r="L84" s="99">
        <f>IFERROR(J84/K84,0)</f>
        <v/>
      </c>
      <c r="M84" s="100">
        <f>IFERROR(F84/J84,0)</f>
        <v/>
      </c>
      <c r="N84" s="95">
        <f>IFERROR(F84/I84,0)</f>
        <v/>
      </c>
      <c r="O84" s="98">
        <f>IFERROR((G84-F84)/F84,0)</f>
        <v/>
      </c>
      <c r="P84" s="98">
        <f>IFERROR(I84/H84,0)</f>
        <v/>
      </c>
      <c r="Q84" s="94" t="inlineStr">
        <is>
          <t>2025-01-24</t>
        </is>
      </c>
      <c r="R84" s="94" t="inlineStr">
        <is>
          <t>2025-04-03</t>
        </is>
      </c>
      <c r="S84" s="94" t="inlineStr">
        <is>
          <t>Enterprise IT</t>
        </is>
      </c>
      <c r="T84" s="94" t="inlineStr">
        <is>
          <t>Active</t>
        </is>
      </c>
      <c r="U84" s="94" t="inlineStr">
        <is>
          <t>Retargeting campaign - Enterprise IT</t>
        </is>
      </c>
    </row>
    <row r="85" ht="15" customHeight="1" s="66">
      <c r="A85" s="102" t="inlineStr">
        <is>
          <t>CAMP-2025084</t>
        </is>
      </c>
      <c r="B85" s="102" t="inlineStr">
        <is>
          <t>Webinars - Product Launch - Q4 Delta</t>
        </is>
      </c>
      <c r="C85" s="102" t="inlineStr">
        <is>
          <t>Webinars</t>
        </is>
      </c>
      <c r="D85" s="102" t="inlineStr">
        <is>
          <t>Product Launch</t>
        </is>
      </c>
      <c r="E85" s="102" t="inlineStr">
        <is>
          <t>Q4</t>
        </is>
      </c>
      <c r="F85" s="103" t="n">
        <v>73000</v>
      </c>
      <c r="G85" s="103" t="n">
        <v>258288</v>
      </c>
      <c r="H85" s="105" t="n">
        <v>1335</v>
      </c>
      <c r="I85" s="105" t="n">
        <v>274</v>
      </c>
      <c r="J85" s="105" t="n">
        <v>30066</v>
      </c>
      <c r="K85" s="105" t="n">
        <v>1565972</v>
      </c>
      <c r="L85" s="107">
        <f>IFERROR(J85/K85,0)</f>
        <v/>
      </c>
      <c r="M85" s="108">
        <f>IFERROR(F85/J85,0)</f>
        <v/>
      </c>
      <c r="N85" s="103">
        <f>IFERROR(F85/I85,0)</f>
        <v/>
      </c>
      <c r="O85" s="106">
        <f>IFERROR((G85-F85)/F85,0)</f>
        <v/>
      </c>
      <c r="P85" s="106">
        <f>IFERROR(I85/H85,0)</f>
        <v/>
      </c>
      <c r="Q85" s="102" t="inlineStr">
        <is>
          <t>2025-04-06</t>
        </is>
      </c>
      <c r="R85" s="102" t="inlineStr">
        <is>
          <t>2025-04-27</t>
        </is>
      </c>
      <c r="S85" s="102" t="inlineStr">
        <is>
          <t>Marketing Leaders</t>
        </is>
      </c>
      <c r="T85" s="102" t="inlineStr">
        <is>
          <t>Completed</t>
        </is>
      </c>
      <c r="U85" s="102" t="inlineStr">
        <is>
          <t>Product Launch campaign - Marketing Leaders</t>
        </is>
      </c>
    </row>
    <row r="86" ht="15" customHeight="1" s="66">
      <c r="A86" s="94" t="inlineStr">
        <is>
          <t>CAMP-2025085</t>
        </is>
      </c>
      <c r="B86" s="94" t="inlineStr">
        <is>
          <t>Google Ads - Nurture - Q1 Epsilon</t>
        </is>
      </c>
      <c r="C86" s="94" t="inlineStr">
        <is>
          <t>Google Ads</t>
        </is>
      </c>
      <c r="D86" s="94" t="inlineStr">
        <is>
          <t>Nurture</t>
        </is>
      </c>
      <c r="E86" s="94" t="inlineStr">
        <is>
          <t>Q1</t>
        </is>
      </c>
      <c r="F86" s="95" t="n">
        <v>78000</v>
      </c>
      <c r="G86" s="95" t="n">
        <v>281414</v>
      </c>
      <c r="H86" s="97" t="n">
        <v>2445</v>
      </c>
      <c r="I86" s="97" t="n">
        <v>302</v>
      </c>
      <c r="J86" s="97" t="n">
        <v>28168</v>
      </c>
      <c r="K86" s="97" t="n">
        <v>669046</v>
      </c>
      <c r="L86" s="99">
        <f>IFERROR(J86/K86,0)</f>
        <v/>
      </c>
      <c r="M86" s="100">
        <f>IFERROR(F86/J86,0)</f>
        <v/>
      </c>
      <c r="N86" s="95">
        <f>IFERROR(F86/I86,0)</f>
        <v/>
      </c>
      <c r="O86" s="98">
        <f>IFERROR((G86-F86)/F86,0)</f>
        <v/>
      </c>
      <c r="P86" s="98">
        <f>IFERROR(I86/H86,0)</f>
        <v/>
      </c>
      <c r="Q86" s="94" t="inlineStr">
        <is>
          <t>2025-06-04</t>
        </is>
      </c>
      <c r="R86" s="94" t="inlineStr">
        <is>
          <t>2025-06-30</t>
        </is>
      </c>
      <c r="S86" s="94" t="inlineStr">
        <is>
          <t>Finance Teams</t>
        </is>
      </c>
      <c r="T86" s="94" t="inlineStr">
        <is>
          <t>Active</t>
        </is>
      </c>
      <c r="U86" s="94" t="inlineStr">
        <is>
          <t>Nurture campaign - Finance Teams</t>
        </is>
      </c>
    </row>
    <row r="87" ht="15" customHeight="1" s="66">
      <c r="A87" s="102" t="inlineStr">
        <is>
          <t>CAMP-2025086</t>
        </is>
      </c>
      <c r="B87" s="102" t="inlineStr">
        <is>
          <t>Facebook Ads - Event Promo - Q1 Alpha</t>
        </is>
      </c>
      <c r="C87" s="102" t="inlineStr">
        <is>
          <t>Facebook Ads</t>
        </is>
      </c>
      <c r="D87" s="102" t="inlineStr">
        <is>
          <t>Event Promo</t>
        </is>
      </c>
      <c r="E87" s="102" t="inlineStr">
        <is>
          <t>Q1</t>
        </is>
      </c>
      <c r="F87" s="103" t="n">
        <v>22000</v>
      </c>
      <c r="G87" s="103" t="n">
        <v>45425</v>
      </c>
      <c r="H87" s="105" t="n">
        <v>927</v>
      </c>
      <c r="I87" s="105" t="n">
        <v>168</v>
      </c>
      <c r="J87" s="105" t="n">
        <v>15598</v>
      </c>
      <c r="K87" s="105" t="n">
        <v>339667</v>
      </c>
      <c r="L87" s="107">
        <f>IFERROR(J87/K87,0)</f>
        <v/>
      </c>
      <c r="M87" s="108">
        <f>IFERROR(F87/J87,0)</f>
        <v/>
      </c>
      <c r="N87" s="103">
        <f>IFERROR(F87/I87,0)</f>
        <v/>
      </c>
      <c r="O87" s="106">
        <f>IFERROR((G87-F87)/F87,0)</f>
        <v/>
      </c>
      <c r="P87" s="106">
        <f>IFERROR(I87/H87,0)</f>
        <v/>
      </c>
      <c r="Q87" s="102" t="inlineStr">
        <is>
          <t>2025-09-26</t>
        </is>
      </c>
      <c r="R87" s="102" t="inlineStr">
        <is>
          <t>2025-12-12</t>
        </is>
      </c>
      <c r="S87" s="102" t="inlineStr">
        <is>
          <t>E-commerce</t>
        </is>
      </c>
      <c r="T87" s="102" t="inlineStr">
        <is>
          <t>Completed</t>
        </is>
      </c>
      <c r="U87" s="102" t="inlineStr">
        <is>
          <t>Event Promo campaign - E-commerce</t>
        </is>
      </c>
    </row>
    <row r="88" ht="15" customHeight="1" s="66">
      <c r="A88" s="94" t="inlineStr">
        <is>
          <t>CAMP-2025087</t>
        </is>
      </c>
      <c r="B88" s="94" t="inlineStr">
        <is>
          <t>LinkedIn Ads - Seasonal - Q1 Beta</t>
        </is>
      </c>
      <c r="C88" s="94" t="inlineStr">
        <is>
          <t>LinkedIn Ads</t>
        </is>
      </c>
      <c r="D88" s="94" t="inlineStr">
        <is>
          <t>Seasonal</t>
        </is>
      </c>
      <c r="E88" s="94" t="inlineStr">
        <is>
          <t>Q1</t>
        </is>
      </c>
      <c r="F88" s="95" t="n">
        <v>36000</v>
      </c>
      <c r="G88" s="95" t="n">
        <v>132178</v>
      </c>
      <c r="H88" s="97" t="n">
        <v>862</v>
      </c>
      <c r="I88" s="97" t="n">
        <v>73</v>
      </c>
      <c r="J88" s="97" t="n">
        <v>9763</v>
      </c>
      <c r="K88" s="97" t="n">
        <v>153925</v>
      </c>
      <c r="L88" s="99">
        <f>IFERROR(J88/K88,0)</f>
        <v/>
      </c>
      <c r="M88" s="100">
        <f>IFERROR(F88/J88,0)</f>
        <v/>
      </c>
      <c r="N88" s="95">
        <f>IFERROR(F88/I88,0)</f>
        <v/>
      </c>
      <c r="O88" s="98">
        <f>IFERROR((G88-F88)/F88,0)</f>
        <v/>
      </c>
      <c r="P88" s="98">
        <f>IFERROR(I88/H88,0)</f>
        <v/>
      </c>
      <c r="Q88" s="94" t="inlineStr">
        <is>
          <t>2025-03-04</t>
        </is>
      </c>
      <c r="R88" s="94" t="inlineStr">
        <is>
          <t>2025-03-21</t>
        </is>
      </c>
      <c r="S88" s="94" t="inlineStr">
        <is>
          <t>Tech Startups</t>
        </is>
      </c>
      <c r="T88" s="94" t="inlineStr">
        <is>
          <t>Completed</t>
        </is>
      </c>
      <c r="U88" s="94" t="inlineStr">
        <is>
          <t>Seasonal campaign - Tech Startups</t>
        </is>
      </c>
    </row>
    <row r="89" ht="15" customHeight="1" s="66">
      <c r="A89" s="102" t="inlineStr">
        <is>
          <t>CAMP-2025088</t>
        </is>
      </c>
      <c r="B89" s="102" t="inlineStr">
        <is>
          <t>Email Marketing - Upsell - Q2 Gamma</t>
        </is>
      </c>
      <c r="C89" s="102" t="inlineStr">
        <is>
          <t>Email Marketing</t>
        </is>
      </c>
      <c r="D89" s="102" t="inlineStr">
        <is>
          <t>Upsell</t>
        </is>
      </c>
      <c r="E89" s="102" t="inlineStr">
        <is>
          <t>Q2</t>
        </is>
      </c>
      <c r="F89" s="103" t="n">
        <v>54000</v>
      </c>
      <c r="G89" s="103" t="n">
        <v>186915</v>
      </c>
      <c r="H89" s="105" t="n">
        <v>3480</v>
      </c>
      <c r="I89" s="105" t="n">
        <v>410</v>
      </c>
      <c r="J89" s="105" t="n">
        <v>0</v>
      </c>
      <c r="K89" s="105" t="n">
        <v>0</v>
      </c>
      <c r="L89" s="107">
        <f>IFERROR(J89/K89,0)</f>
        <v/>
      </c>
      <c r="M89" s="108">
        <f>IFERROR(F89/J89,0)</f>
        <v/>
      </c>
      <c r="N89" s="103">
        <f>IFERROR(F89/I89,0)</f>
        <v/>
      </c>
      <c r="O89" s="106">
        <f>IFERROR((G89-F89)/F89,0)</f>
        <v/>
      </c>
      <c r="P89" s="106">
        <f>IFERROR(I89/H89,0)</f>
        <v/>
      </c>
      <c r="Q89" s="102" t="inlineStr">
        <is>
          <t>2025-05-02</t>
        </is>
      </c>
      <c r="R89" s="102" t="inlineStr">
        <is>
          <t>2025-07-04</t>
        </is>
      </c>
      <c r="S89" s="102" t="inlineStr">
        <is>
          <t>Healthcare</t>
        </is>
      </c>
      <c r="T89" s="102" t="inlineStr">
        <is>
          <t>Active</t>
        </is>
      </c>
      <c r="U89" s="102" t="inlineStr">
        <is>
          <t>Upsell campaign - Healthcare</t>
        </is>
      </c>
    </row>
    <row r="90" ht="15" customHeight="1" s="66">
      <c r="A90" s="94" t="inlineStr">
        <is>
          <t>CAMP-2025089</t>
        </is>
      </c>
      <c r="B90" s="94" t="inlineStr">
        <is>
          <t>SEO/Organic - Cross-sell - Q2 Delta</t>
        </is>
      </c>
      <c r="C90" s="94" t="inlineStr">
        <is>
          <t>SEO/Organic</t>
        </is>
      </c>
      <c r="D90" s="94" t="inlineStr">
        <is>
          <t>Cross-sell</t>
        </is>
      </c>
      <c r="E90" s="94" t="inlineStr">
        <is>
          <t>Q2</t>
        </is>
      </c>
      <c r="F90" s="95" t="n">
        <v>76000</v>
      </c>
      <c r="G90" s="95" t="n">
        <v>263679</v>
      </c>
      <c r="H90" s="97" t="n">
        <v>3091</v>
      </c>
      <c r="I90" s="97" t="n">
        <v>386</v>
      </c>
      <c r="J90" s="97" t="n">
        <v>0</v>
      </c>
      <c r="K90" s="97" t="n">
        <v>0</v>
      </c>
      <c r="L90" s="99">
        <f>IFERROR(J90/K90,0)</f>
        <v/>
      </c>
      <c r="M90" s="100">
        <f>IFERROR(F90/J90,0)</f>
        <v/>
      </c>
      <c r="N90" s="95">
        <f>IFERROR(F90/I90,0)</f>
        <v/>
      </c>
      <c r="O90" s="98">
        <f>IFERROR((G90-F90)/F90,0)</f>
        <v/>
      </c>
      <c r="P90" s="98">
        <f>IFERROR(I90/H90,0)</f>
        <v/>
      </c>
      <c r="Q90" s="94" t="inlineStr">
        <is>
          <t>2025-05-18</t>
        </is>
      </c>
      <c r="R90" s="94" t="inlineStr">
        <is>
          <t>2025-08-05</t>
        </is>
      </c>
      <c r="S90" s="94" t="inlineStr">
        <is>
          <t>Retail</t>
        </is>
      </c>
      <c r="T90" s="94" t="inlineStr">
        <is>
          <t>Completed</t>
        </is>
      </c>
      <c r="U90" s="94" t="inlineStr">
        <is>
          <t>Cross-sell campaign - Retail</t>
        </is>
      </c>
    </row>
    <row r="91" ht="15" customHeight="1" s="66">
      <c r="A91" s="102" t="inlineStr">
        <is>
          <t>CAMP-2025090</t>
        </is>
      </c>
      <c r="B91" s="102" t="inlineStr">
        <is>
          <t>Content Marketing - Winback - Q2 Epsilon</t>
        </is>
      </c>
      <c r="C91" s="102" t="inlineStr">
        <is>
          <t>Content Marketing</t>
        </is>
      </c>
      <c r="D91" s="102" t="inlineStr">
        <is>
          <t>Winback</t>
        </is>
      </c>
      <c r="E91" s="102" t="inlineStr">
        <is>
          <t>Q2</t>
        </is>
      </c>
      <c r="F91" s="103" t="n">
        <v>39000</v>
      </c>
      <c r="G91" s="103" t="n">
        <v>70653</v>
      </c>
      <c r="H91" s="105" t="n">
        <v>1163</v>
      </c>
      <c r="I91" s="105" t="n">
        <v>191</v>
      </c>
      <c r="J91" s="105" t="n">
        <v>0</v>
      </c>
      <c r="K91" s="105" t="n">
        <v>0</v>
      </c>
      <c r="L91" s="107">
        <f>IFERROR(J91/K91,0)</f>
        <v/>
      </c>
      <c r="M91" s="108">
        <f>IFERROR(F91/J91,0)</f>
        <v/>
      </c>
      <c r="N91" s="103">
        <f>IFERROR(F91/I91,0)</f>
        <v/>
      </c>
      <c r="O91" s="106">
        <f>IFERROR((G91-F91)/F91,0)</f>
        <v/>
      </c>
      <c r="P91" s="106">
        <f>IFERROR(I91/H91,0)</f>
        <v/>
      </c>
      <c r="Q91" s="102" t="inlineStr">
        <is>
          <t>2025-08-28</t>
        </is>
      </c>
      <c r="R91" s="102" t="inlineStr">
        <is>
          <t>2025-10-25</t>
        </is>
      </c>
      <c r="S91" s="102" t="inlineStr">
        <is>
          <t>SaaS Companies</t>
        </is>
      </c>
      <c r="T91" s="102" t="inlineStr">
        <is>
          <t>Completed</t>
        </is>
      </c>
      <c r="U91" s="102" t="inlineStr">
        <is>
          <t>Winback campaign - SaaS Companies</t>
        </is>
      </c>
    </row>
    <row r="92" ht="15" customHeight="1" s="66">
      <c r="A92" s="94" t="inlineStr">
        <is>
          <t>CAMP-2025091</t>
        </is>
      </c>
      <c r="B92" s="94" t="inlineStr">
        <is>
          <t>Affiliate - Brand Awareness - Q3 Alpha</t>
        </is>
      </c>
      <c r="C92" s="94" t="inlineStr">
        <is>
          <t>Affiliate</t>
        </is>
      </c>
      <c r="D92" s="94" t="inlineStr">
        <is>
          <t>Brand Awareness</t>
        </is>
      </c>
      <c r="E92" s="94" t="inlineStr">
        <is>
          <t>Q3</t>
        </is>
      </c>
      <c r="F92" s="95" t="n">
        <v>55000</v>
      </c>
      <c r="G92" s="95" t="n">
        <v>120574</v>
      </c>
      <c r="H92" s="97" t="n">
        <v>2662</v>
      </c>
      <c r="I92" s="97" t="n">
        <v>266</v>
      </c>
      <c r="J92" s="97" t="n">
        <v>19515</v>
      </c>
      <c r="K92" s="97" t="n">
        <v>588467</v>
      </c>
      <c r="L92" s="99">
        <f>IFERROR(J92/K92,0)</f>
        <v/>
      </c>
      <c r="M92" s="100">
        <f>IFERROR(F92/J92,0)</f>
        <v/>
      </c>
      <c r="N92" s="95">
        <f>IFERROR(F92/I92,0)</f>
        <v/>
      </c>
      <c r="O92" s="98">
        <f>IFERROR((G92-F92)/F92,0)</f>
        <v/>
      </c>
      <c r="P92" s="98">
        <f>IFERROR(I92/H92,0)</f>
        <v/>
      </c>
      <c r="Q92" s="94" t="inlineStr">
        <is>
          <t>2025-08-16</t>
        </is>
      </c>
      <c r="R92" s="94" t="inlineStr">
        <is>
          <t>2025-08-31</t>
        </is>
      </c>
      <c r="S92" s="94" t="inlineStr">
        <is>
          <t>B2B Executives</t>
        </is>
      </c>
      <c r="T92" s="94" t="inlineStr">
        <is>
          <t>Completed</t>
        </is>
      </c>
      <c r="U92" s="94" t="inlineStr">
        <is>
          <t>Brand Awareness campaign - B2B Executives</t>
        </is>
      </c>
    </row>
    <row r="93" ht="15" customHeight="1" s="66">
      <c r="A93" s="102" t="inlineStr">
        <is>
          <t>CAMP-2025092</t>
        </is>
      </c>
      <c r="B93" s="102" t="inlineStr">
        <is>
          <t>Influencer - Lead Gen - Q3 Beta</t>
        </is>
      </c>
      <c r="C93" s="102" t="inlineStr">
        <is>
          <t>Influencer</t>
        </is>
      </c>
      <c r="D93" s="102" t="inlineStr">
        <is>
          <t>Lead Gen</t>
        </is>
      </c>
      <c r="E93" s="102" t="inlineStr">
        <is>
          <t>Q3</t>
        </is>
      </c>
      <c r="F93" s="103" t="n">
        <v>28000</v>
      </c>
      <c r="G93" s="103" t="n">
        <v>99346</v>
      </c>
      <c r="H93" s="105" t="n">
        <v>935</v>
      </c>
      <c r="I93" s="105" t="n">
        <v>106</v>
      </c>
      <c r="J93" s="105" t="n">
        <v>6459</v>
      </c>
      <c r="K93" s="105" t="n">
        <v>236811</v>
      </c>
      <c r="L93" s="107">
        <f>IFERROR(J93/K93,0)</f>
        <v/>
      </c>
      <c r="M93" s="108">
        <f>IFERROR(F93/J93,0)</f>
        <v/>
      </c>
      <c r="N93" s="103">
        <f>IFERROR(F93/I93,0)</f>
        <v/>
      </c>
      <c r="O93" s="106">
        <f>IFERROR((G93-F93)/F93,0)</f>
        <v/>
      </c>
      <c r="P93" s="106">
        <f>IFERROR(I93/H93,0)</f>
        <v/>
      </c>
      <c r="Q93" s="102" t="inlineStr">
        <is>
          <t>2025-02-10</t>
        </is>
      </c>
      <c r="R93" s="102" t="inlineStr">
        <is>
          <t>2025-03-03</t>
        </is>
      </c>
      <c r="S93" s="102" t="inlineStr">
        <is>
          <t>SMB Owners</t>
        </is>
      </c>
      <c r="T93" s="102" t="inlineStr">
        <is>
          <t>Active</t>
        </is>
      </c>
      <c r="U93" s="102" t="inlineStr">
        <is>
          <t>Lead Gen campaign - SMB Owners</t>
        </is>
      </c>
    </row>
    <row r="94" ht="15" customHeight="1" s="66">
      <c r="A94" s="94" t="inlineStr">
        <is>
          <t>CAMP-2025093</t>
        </is>
      </c>
      <c r="B94" s="94" t="inlineStr">
        <is>
          <t>YouTube Ads - Retargeting - Q3 Gamma</t>
        </is>
      </c>
      <c r="C94" s="94" t="inlineStr">
        <is>
          <t>YouTube Ads</t>
        </is>
      </c>
      <c r="D94" s="94" t="inlineStr">
        <is>
          <t>Retargeting</t>
        </is>
      </c>
      <c r="E94" s="94" t="inlineStr">
        <is>
          <t>Q3</t>
        </is>
      </c>
      <c r="F94" s="95" t="n">
        <v>11000</v>
      </c>
      <c r="G94" s="95" t="n">
        <v>32770</v>
      </c>
      <c r="H94" s="97" t="n">
        <v>341</v>
      </c>
      <c r="I94" s="97" t="n">
        <v>55</v>
      </c>
      <c r="J94" s="97" t="n">
        <v>4776</v>
      </c>
      <c r="K94" s="97" t="n">
        <v>84718</v>
      </c>
      <c r="L94" s="99">
        <f>IFERROR(J94/K94,0)</f>
        <v/>
      </c>
      <c r="M94" s="100">
        <f>IFERROR(F94/J94,0)</f>
        <v/>
      </c>
      <c r="N94" s="95">
        <f>IFERROR(F94/I94,0)</f>
        <v/>
      </c>
      <c r="O94" s="98">
        <f>IFERROR((G94-F94)/F94,0)</f>
        <v/>
      </c>
      <c r="P94" s="98">
        <f>IFERROR(I94/H94,0)</f>
        <v/>
      </c>
      <c r="Q94" s="94" t="inlineStr">
        <is>
          <t>2025-09-18</t>
        </is>
      </c>
      <c r="R94" s="94" t="inlineStr">
        <is>
          <t>2025-11-01</t>
        </is>
      </c>
      <c r="S94" s="94" t="inlineStr">
        <is>
          <t>Enterprise IT</t>
        </is>
      </c>
      <c r="T94" s="94" t="inlineStr">
        <is>
          <t>Paused</t>
        </is>
      </c>
      <c r="U94" s="94" t="inlineStr">
        <is>
          <t>Retargeting campaign - Enterprise IT</t>
        </is>
      </c>
    </row>
    <row r="95" ht="15" customHeight="1" s="66">
      <c r="A95" s="102" t="inlineStr">
        <is>
          <t>CAMP-2025094</t>
        </is>
      </c>
      <c r="B95" s="102" t="inlineStr">
        <is>
          <t>Twitter/X Ads - Product Launch - Q4 Delta</t>
        </is>
      </c>
      <c r="C95" s="102" t="inlineStr">
        <is>
          <t>Twitter/X Ads</t>
        </is>
      </c>
      <c r="D95" s="102" t="inlineStr">
        <is>
          <t>Product Launch</t>
        </is>
      </c>
      <c r="E95" s="102" t="inlineStr">
        <is>
          <t>Q4</t>
        </is>
      </c>
      <c r="F95" s="103" t="n">
        <v>72000</v>
      </c>
      <c r="G95" s="103" t="n">
        <v>168072</v>
      </c>
      <c r="H95" s="105" t="n">
        <v>1707</v>
      </c>
      <c r="I95" s="105" t="n">
        <v>235</v>
      </c>
      <c r="J95" s="105" t="n">
        <v>58565</v>
      </c>
      <c r="K95" s="105" t="n">
        <v>1729022</v>
      </c>
      <c r="L95" s="107">
        <f>IFERROR(J95/K95,0)</f>
        <v/>
      </c>
      <c r="M95" s="108">
        <f>IFERROR(F95/J95,0)</f>
        <v/>
      </c>
      <c r="N95" s="103">
        <f>IFERROR(F95/I95,0)</f>
        <v/>
      </c>
      <c r="O95" s="106">
        <f>IFERROR((G95-F95)/F95,0)</f>
        <v/>
      </c>
      <c r="P95" s="106">
        <f>IFERROR(I95/H95,0)</f>
        <v/>
      </c>
      <c r="Q95" s="102" t="inlineStr">
        <is>
          <t>2025-03-19</t>
        </is>
      </c>
      <c r="R95" s="102" t="inlineStr">
        <is>
          <t>2025-05-13</t>
        </is>
      </c>
      <c r="S95" s="102" t="inlineStr">
        <is>
          <t>Marketing Leaders</t>
        </is>
      </c>
      <c r="T95" s="102" t="inlineStr">
        <is>
          <t>Completed</t>
        </is>
      </c>
      <c r="U95" s="102" t="inlineStr">
        <is>
          <t>Product Launch campaign - Marketing Leaders</t>
        </is>
      </c>
    </row>
    <row r="96" ht="15" customHeight="1" s="66">
      <c r="A96" s="94" t="inlineStr">
        <is>
          <t>CAMP-2025095</t>
        </is>
      </c>
      <c r="B96" s="94" t="inlineStr">
        <is>
          <t>TikTok Ads - Nurture - Q4 Epsilon</t>
        </is>
      </c>
      <c r="C96" s="94" t="inlineStr">
        <is>
          <t>TikTok Ads</t>
        </is>
      </c>
      <c r="D96" s="94" t="inlineStr">
        <is>
          <t>Nurture</t>
        </is>
      </c>
      <c r="E96" s="94" t="inlineStr">
        <is>
          <t>Q4</t>
        </is>
      </c>
      <c r="F96" s="95" t="n">
        <v>39000</v>
      </c>
      <c r="G96" s="95" t="n">
        <v>81865</v>
      </c>
      <c r="H96" s="97" t="n">
        <v>944</v>
      </c>
      <c r="I96" s="97" t="n">
        <v>152</v>
      </c>
      <c r="J96" s="97" t="n">
        <v>11780</v>
      </c>
      <c r="K96" s="97" t="n">
        <v>297445</v>
      </c>
      <c r="L96" s="99">
        <f>IFERROR(J96/K96,0)</f>
        <v/>
      </c>
      <c r="M96" s="100">
        <f>IFERROR(F96/J96,0)</f>
        <v/>
      </c>
      <c r="N96" s="95">
        <f>IFERROR(F96/I96,0)</f>
        <v/>
      </c>
      <c r="O96" s="98">
        <f>IFERROR((G96-F96)/F96,0)</f>
        <v/>
      </c>
      <c r="P96" s="98">
        <f>IFERROR(I96/H96,0)</f>
        <v/>
      </c>
      <c r="Q96" s="94" t="inlineStr">
        <is>
          <t>2025-08-09</t>
        </is>
      </c>
      <c r="R96" s="94" t="inlineStr">
        <is>
          <t>2025-10-21</t>
        </is>
      </c>
      <c r="S96" s="94" t="inlineStr">
        <is>
          <t>Finance Teams</t>
        </is>
      </c>
      <c r="T96" s="94" t="inlineStr">
        <is>
          <t>Completed</t>
        </is>
      </c>
      <c r="U96" s="94" t="inlineStr">
        <is>
          <t>Nurture campaign - Finance Teams</t>
        </is>
      </c>
    </row>
    <row r="97" ht="15" customHeight="1" s="66">
      <c r="A97" s="102" t="inlineStr">
        <is>
          <t>CAMP-2025096</t>
        </is>
      </c>
      <c r="B97" s="102" t="inlineStr">
        <is>
          <t>Display/Banner - Event Promo - Q4 Alpha</t>
        </is>
      </c>
      <c r="C97" s="102" t="inlineStr">
        <is>
          <t>Display/Banner</t>
        </is>
      </c>
      <c r="D97" s="102" t="inlineStr">
        <is>
          <t>Event Promo</t>
        </is>
      </c>
      <c r="E97" s="102" t="inlineStr">
        <is>
          <t>Q4</t>
        </is>
      </c>
      <c r="F97" s="103" t="n">
        <v>5000</v>
      </c>
      <c r="G97" s="103" t="n">
        <v>10511</v>
      </c>
      <c r="H97" s="105" t="n">
        <v>177</v>
      </c>
      <c r="I97" s="105" t="n">
        <v>29</v>
      </c>
      <c r="J97" s="105" t="n">
        <v>2499</v>
      </c>
      <c r="K97" s="105" t="n">
        <v>75293</v>
      </c>
      <c r="L97" s="107">
        <f>IFERROR(J97/K97,0)</f>
        <v/>
      </c>
      <c r="M97" s="108">
        <f>IFERROR(F97/J97,0)</f>
        <v/>
      </c>
      <c r="N97" s="103">
        <f>IFERROR(F97/I97,0)</f>
        <v/>
      </c>
      <c r="O97" s="106">
        <f>IFERROR((G97-F97)/F97,0)</f>
        <v/>
      </c>
      <c r="P97" s="106">
        <f>IFERROR(I97/H97,0)</f>
        <v/>
      </c>
      <c r="Q97" s="102" t="inlineStr">
        <is>
          <t>2025-11-13</t>
        </is>
      </c>
      <c r="R97" s="102" t="inlineStr">
        <is>
          <t>2025-12-04</t>
        </is>
      </c>
      <c r="S97" s="102" t="inlineStr">
        <is>
          <t>E-commerce</t>
        </is>
      </c>
      <c r="T97" s="102" t="inlineStr">
        <is>
          <t>Paused</t>
        </is>
      </c>
      <c r="U97" s="102" t="inlineStr">
        <is>
          <t>Event Promo campaign - E-commerce</t>
        </is>
      </c>
    </row>
    <row r="98" ht="15" customHeight="1" s="66">
      <c r="A98" s="94" t="inlineStr">
        <is>
          <t>CAMP-2025097</t>
        </is>
      </c>
      <c r="B98" s="94" t="inlineStr">
        <is>
          <t>Podcast Ads - Seasonal - Q1 Beta</t>
        </is>
      </c>
      <c r="C98" s="94" t="inlineStr">
        <is>
          <t>Podcast Ads</t>
        </is>
      </c>
      <c r="D98" s="94" t="inlineStr">
        <is>
          <t>Seasonal</t>
        </is>
      </c>
      <c r="E98" s="94" t="inlineStr">
        <is>
          <t>Q1</t>
        </is>
      </c>
      <c r="F98" s="95" t="n">
        <v>31000</v>
      </c>
      <c r="G98" s="95" t="n">
        <v>99971</v>
      </c>
      <c r="H98" s="97" t="n">
        <v>1043</v>
      </c>
      <c r="I98" s="97" t="n">
        <v>224</v>
      </c>
      <c r="J98" s="97" t="n">
        <v>7247</v>
      </c>
      <c r="K98" s="97" t="n">
        <v>251550</v>
      </c>
      <c r="L98" s="99">
        <f>IFERROR(J98/K98,0)</f>
        <v/>
      </c>
      <c r="M98" s="100">
        <f>IFERROR(F98/J98,0)</f>
        <v/>
      </c>
      <c r="N98" s="95">
        <f>IFERROR(F98/I98,0)</f>
        <v/>
      </c>
      <c r="O98" s="98">
        <f>IFERROR((G98-F98)/F98,0)</f>
        <v/>
      </c>
      <c r="P98" s="98">
        <f>IFERROR(I98/H98,0)</f>
        <v/>
      </c>
      <c r="Q98" s="94" t="inlineStr">
        <is>
          <t>2025-11-22</t>
        </is>
      </c>
      <c r="R98" s="94" t="inlineStr">
        <is>
          <t>2026-02-19</t>
        </is>
      </c>
      <c r="S98" s="94" t="inlineStr">
        <is>
          <t>Tech Startups</t>
        </is>
      </c>
      <c r="T98" s="94" t="inlineStr">
        <is>
          <t>Active</t>
        </is>
      </c>
      <c r="U98" s="94" t="inlineStr">
        <is>
          <t>Seasonal campaign - Tech Startups</t>
        </is>
      </c>
    </row>
    <row r="99" ht="15" customHeight="1" s="66">
      <c r="A99" s="102" t="inlineStr">
        <is>
          <t>CAMP-2025098</t>
        </is>
      </c>
      <c r="B99" s="102" t="inlineStr">
        <is>
          <t>Webinars - Upsell - Q1 Gamma</t>
        </is>
      </c>
      <c r="C99" s="102" t="inlineStr">
        <is>
          <t>Webinars</t>
        </is>
      </c>
      <c r="D99" s="102" t="inlineStr">
        <is>
          <t>Upsell</t>
        </is>
      </c>
      <c r="E99" s="102" t="inlineStr">
        <is>
          <t>Q1</t>
        </is>
      </c>
      <c r="F99" s="103" t="n">
        <v>72000</v>
      </c>
      <c r="G99" s="103" t="n">
        <v>295926</v>
      </c>
      <c r="H99" s="105" t="n">
        <v>3393</v>
      </c>
      <c r="I99" s="105" t="n">
        <v>374</v>
      </c>
      <c r="J99" s="105" t="n">
        <v>22356</v>
      </c>
      <c r="K99" s="105" t="n">
        <v>688194</v>
      </c>
      <c r="L99" s="107">
        <f>IFERROR(J99/K99,0)</f>
        <v/>
      </c>
      <c r="M99" s="108">
        <f>IFERROR(F99/J99,0)</f>
        <v/>
      </c>
      <c r="N99" s="103">
        <f>IFERROR(F99/I99,0)</f>
        <v/>
      </c>
      <c r="O99" s="106">
        <f>IFERROR((G99-F99)/F99,0)</f>
        <v/>
      </c>
      <c r="P99" s="106">
        <f>IFERROR(I99/H99,0)</f>
        <v/>
      </c>
      <c r="Q99" s="102" t="inlineStr">
        <is>
          <t>2025-04-22</t>
        </is>
      </c>
      <c r="R99" s="102" t="inlineStr">
        <is>
          <t>2025-06-14</t>
        </is>
      </c>
      <c r="S99" s="102" t="inlineStr">
        <is>
          <t>Healthcare</t>
        </is>
      </c>
      <c r="T99" s="102" t="inlineStr">
        <is>
          <t>Paused</t>
        </is>
      </c>
      <c r="U99" s="102" t="inlineStr">
        <is>
          <t>Upsell campaign - Healthcare</t>
        </is>
      </c>
    </row>
    <row r="100" ht="15" customHeight="1" s="66">
      <c r="A100" s="94" t="inlineStr">
        <is>
          <t>CAMP-2025099</t>
        </is>
      </c>
      <c r="B100" s="94" t="inlineStr">
        <is>
          <t>Google Ads - Cross-sell - Q1 Delta</t>
        </is>
      </c>
      <c r="C100" s="94" t="inlineStr">
        <is>
          <t>Google Ads</t>
        </is>
      </c>
      <c r="D100" s="94" t="inlineStr">
        <is>
          <t>Cross-sell</t>
        </is>
      </c>
      <c r="E100" s="94" t="inlineStr">
        <is>
          <t>Q1</t>
        </is>
      </c>
      <c r="F100" s="95" t="n">
        <v>16000</v>
      </c>
      <c r="G100" s="95" t="n">
        <v>44911</v>
      </c>
      <c r="H100" s="97" t="n">
        <v>485</v>
      </c>
      <c r="I100" s="97" t="n">
        <v>58</v>
      </c>
      <c r="J100" s="97" t="n">
        <v>5769</v>
      </c>
      <c r="K100" s="97" t="n">
        <v>315037</v>
      </c>
      <c r="L100" s="99">
        <f>IFERROR(J100/K100,0)</f>
        <v/>
      </c>
      <c r="M100" s="100">
        <f>IFERROR(F100/J100,0)</f>
        <v/>
      </c>
      <c r="N100" s="95">
        <f>IFERROR(F100/I100,0)</f>
        <v/>
      </c>
      <c r="O100" s="98">
        <f>IFERROR((G100-F100)/F100,0)</f>
        <v/>
      </c>
      <c r="P100" s="98">
        <f>IFERROR(I100/H100,0)</f>
        <v/>
      </c>
      <c r="Q100" s="94" t="inlineStr">
        <is>
          <t>2025-01-15</t>
        </is>
      </c>
      <c r="R100" s="94" t="inlineStr">
        <is>
          <t>2025-02-10</t>
        </is>
      </c>
      <c r="S100" s="94" t="inlineStr">
        <is>
          <t>Retail</t>
        </is>
      </c>
      <c r="T100" s="94" t="inlineStr">
        <is>
          <t>Completed</t>
        </is>
      </c>
      <c r="U100" s="94" t="inlineStr">
        <is>
          <t>Cross-sell campaign - Retail</t>
        </is>
      </c>
    </row>
    <row r="101" ht="15" customHeight="1" s="66">
      <c r="A101" s="102" t="inlineStr">
        <is>
          <t>CAMP-2025100</t>
        </is>
      </c>
      <c r="B101" s="102" t="inlineStr">
        <is>
          <t>Facebook Ads - Winback - Q2 Epsilon</t>
        </is>
      </c>
      <c r="C101" s="102" t="inlineStr">
        <is>
          <t>Facebook Ads</t>
        </is>
      </c>
      <c r="D101" s="102" t="inlineStr">
        <is>
          <t>Winback</t>
        </is>
      </c>
      <c r="E101" s="102" t="inlineStr">
        <is>
          <t>Q2</t>
        </is>
      </c>
      <c r="F101" s="103" t="n">
        <v>14000</v>
      </c>
      <c r="G101" s="103" t="n">
        <v>24416</v>
      </c>
      <c r="H101" s="105" t="n">
        <v>559</v>
      </c>
      <c r="I101" s="105" t="n">
        <v>132</v>
      </c>
      <c r="J101" s="105" t="n">
        <v>9075</v>
      </c>
      <c r="K101" s="105" t="n">
        <v>417736</v>
      </c>
      <c r="L101" s="107">
        <f>IFERROR(J101/K101,0)</f>
        <v/>
      </c>
      <c r="M101" s="108">
        <f>IFERROR(F101/J101,0)</f>
        <v/>
      </c>
      <c r="N101" s="103">
        <f>IFERROR(F101/I101,0)</f>
        <v/>
      </c>
      <c r="O101" s="106">
        <f>IFERROR((G101-F101)/F101,0)</f>
        <v/>
      </c>
      <c r="P101" s="106">
        <f>IFERROR(I101/H101,0)</f>
        <v/>
      </c>
      <c r="Q101" s="102" t="inlineStr">
        <is>
          <t>2025-09-22</t>
        </is>
      </c>
      <c r="R101" s="102" t="inlineStr">
        <is>
          <t>2025-10-24</t>
        </is>
      </c>
      <c r="S101" s="102" t="inlineStr">
        <is>
          <t>SaaS Companies</t>
        </is>
      </c>
      <c r="T101" s="102" t="inlineStr">
        <is>
          <t>Completed</t>
        </is>
      </c>
      <c r="U101" s="102" t="inlineStr">
        <is>
          <t>Winback campaign - SaaS Companies</t>
        </is>
      </c>
    </row>
    <row r="102" ht="15" customHeight="1" s="66">
      <c r="A102" s="94" t="inlineStr">
        <is>
          <t>CAMP-2025101</t>
        </is>
      </c>
      <c r="B102" s="94" t="inlineStr">
        <is>
          <t>LinkedIn Ads - Brand Awareness - Q2 Alpha</t>
        </is>
      </c>
      <c r="C102" s="94" t="inlineStr">
        <is>
          <t>LinkedIn Ads</t>
        </is>
      </c>
      <c r="D102" s="94" t="inlineStr">
        <is>
          <t>Brand Awareness</t>
        </is>
      </c>
      <c r="E102" s="94" t="inlineStr">
        <is>
          <t>Q2</t>
        </is>
      </c>
      <c r="F102" s="95" t="n">
        <v>62000</v>
      </c>
      <c r="G102" s="95" t="n">
        <v>242176</v>
      </c>
      <c r="H102" s="97" t="n">
        <v>1165</v>
      </c>
      <c r="I102" s="97" t="n">
        <v>280</v>
      </c>
      <c r="J102" s="97" t="n">
        <v>18664</v>
      </c>
      <c r="K102" s="97" t="n">
        <v>313425</v>
      </c>
      <c r="L102" s="99">
        <f>IFERROR(J102/K102,0)</f>
        <v/>
      </c>
      <c r="M102" s="100">
        <f>IFERROR(F102/J102,0)</f>
        <v/>
      </c>
      <c r="N102" s="95">
        <f>IFERROR(F102/I102,0)</f>
        <v/>
      </c>
      <c r="O102" s="98">
        <f>IFERROR((G102-F102)/F102,0)</f>
        <v/>
      </c>
      <c r="P102" s="98">
        <f>IFERROR(I102/H102,0)</f>
        <v/>
      </c>
      <c r="Q102" s="94" t="inlineStr">
        <is>
          <t>2025-08-14</t>
        </is>
      </c>
      <c r="R102" s="94" t="inlineStr">
        <is>
          <t>2025-09-26</t>
        </is>
      </c>
      <c r="S102" s="94" t="inlineStr">
        <is>
          <t>B2B Executives</t>
        </is>
      </c>
      <c r="T102" s="94" t="inlineStr">
        <is>
          <t>Paused</t>
        </is>
      </c>
      <c r="U102" s="94" t="inlineStr">
        <is>
          <t>Brand Awareness campaign - B2B Executives</t>
        </is>
      </c>
    </row>
    <row r="103" ht="15" customHeight="1" s="66">
      <c r="A103" s="102" t="inlineStr">
        <is>
          <t>CAMP-2025102</t>
        </is>
      </c>
      <c r="B103" s="102" t="inlineStr">
        <is>
          <t>Email Marketing - Lead Gen - Q2 Beta</t>
        </is>
      </c>
      <c r="C103" s="102" t="inlineStr">
        <is>
          <t>Email Marketing</t>
        </is>
      </c>
      <c r="D103" s="102" t="inlineStr">
        <is>
          <t>Lead Gen</t>
        </is>
      </c>
      <c r="E103" s="102" t="inlineStr">
        <is>
          <t>Q2</t>
        </is>
      </c>
      <c r="F103" s="103" t="n">
        <v>43000</v>
      </c>
      <c r="G103" s="103" t="n">
        <v>102970</v>
      </c>
      <c r="H103" s="105" t="n">
        <v>1037</v>
      </c>
      <c r="I103" s="105" t="n">
        <v>85</v>
      </c>
      <c r="J103" s="105" t="n">
        <v>0</v>
      </c>
      <c r="K103" s="105" t="n">
        <v>0</v>
      </c>
      <c r="L103" s="107">
        <f>IFERROR(J103/K103,0)</f>
        <v/>
      </c>
      <c r="M103" s="108">
        <f>IFERROR(F103/J103,0)</f>
        <v/>
      </c>
      <c r="N103" s="103">
        <f>IFERROR(F103/I103,0)</f>
        <v/>
      </c>
      <c r="O103" s="106">
        <f>IFERROR((G103-F103)/F103,0)</f>
        <v/>
      </c>
      <c r="P103" s="106">
        <f>IFERROR(I103/H103,0)</f>
        <v/>
      </c>
      <c r="Q103" s="102" t="inlineStr">
        <is>
          <t>2025-12-01</t>
        </is>
      </c>
      <c r="R103" s="102" t="inlineStr">
        <is>
          <t>2026-02-01</t>
        </is>
      </c>
      <c r="S103" s="102" t="inlineStr">
        <is>
          <t>SMB Owners</t>
        </is>
      </c>
      <c r="T103" s="102" t="inlineStr">
        <is>
          <t>Completed</t>
        </is>
      </c>
      <c r="U103" s="102" t="inlineStr">
        <is>
          <t>Lead Gen campaign - SMB Owners</t>
        </is>
      </c>
    </row>
    <row r="104" ht="15" customHeight="1" s="66">
      <c r="A104" s="94" t="inlineStr">
        <is>
          <t>CAMP-2025103</t>
        </is>
      </c>
      <c r="B104" s="94" t="inlineStr">
        <is>
          <t>SEO/Organic - Retargeting - Q3 Gamma</t>
        </is>
      </c>
      <c r="C104" s="94" t="inlineStr">
        <is>
          <t>SEO/Organic</t>
        </is>
      </c>
      <c r="D104" s="94" t="inlineStr">
        <is>
          <t>Retargeting</t>
        </is>
      </c>
      <c r="E104" s="94" t="inlineStr">
        <is>
          <t>Q3</t>
        </is>
      </c>
      <c r="F104" s="95" t="n">
        <v>56000</v>
      </c>
      <c r="G104" s="95" t="n">
        <v>220093</v>
      </c>
      <c r="H104" s="97" t="n">
        <v>1159</v>
      </c>
      <c r="I104" s="97" t="n">
        <v>155</v>
      </c>
      <c r="J104" s="97" t="n">
        <v>0</v>
      </c>
      <c r="K104" s="97" t="n">
        <v>0</v>
      </c>
      <c r="L104" s="99">
        <f>IFERROR(J104/K104,0)</f>
        <v/>
      </c>
      <c r="M104" s="100">
        <f>IFERROR(F104/J104,0)</f>
        <v/>
      </c>
      <c r="N104" s="95">
        <f>IFERROR(F104/I104,0)</f>
        <v/>
      </c>
      <c r="O104" s="98">
        <f>IFERROR((G104-F104)/F104,0)</f>
        <v/>
      </c>
      <c r="P104" s="98">
        <f>IFERROR(I104/H104,0)</f>
        <v/>
      </c>
      <c r="Q104" s="94" t="inlineStr">
        <is>
          <t>2025-09-21</t>
        </is>
      </c>
      <c r="R104" s="94" t="inlineStr">
        <is>
          <t>2025-10-11</t>
        </is>
      </c>
      <c r="S104" s="94" t="inlineStr">
        <is>
          <t>Enterprise IT</t>
        </is>
      </c>
      <c r="T104" s="94" t="inlineStr">
        <is>
          <t>Active</t>
        </is>
      </c>
      <c r="U104" s="94" t="inlineStr">
        <is>
          <t>Retargeting campaign - Enterprise IT</t>
        </is>
      </c>
    </row>
    <row r="105" ht="15" customHeight="1" s="66">
      <c r="A105" s="102" t="inlineStr">
        <is>
          <t>CAMP-2025104</t>
        </is>
      </c>
      <c r="B105" s="102" t="inlineStr">
        <is>
          <t>Content Marketing - Product Launch - Q3 Delta</t>
        </is>
      </c>
      <c r="C105" s="102" t="inlineStr">
        <is>
          <t>Content Marketing</t>
        </is>
      </c>
      <c r="D105" s="102" t="inlineStr">
        <is>
          <t>Product Launch</t>
        </is>
      </c>
      <c r="E105" s="102" t="inlineStr">
        <is>
          <t>Q3</t>
        </is>
      </c>
      <c r="F105" s="103" t="n">
        <v>77000</v>
      </c>
      <c r="G105" s="103" t="n">
        <v>121028</v>
      </c>
      <c r="H105" s="105" t="n">
        <v>4609</v>
      </c>
      <c r="I105" s="105" t="n">
        <v>401</v>
      </c>
      <c r="J105" s="105" t="n">
        <v>0</v>
      </c>
      <c r="K105" s="105" t="n">
        <v>0</v>
      </c>
      <c r="L105" s="107">
        <f>IFERROR(J105/K105,0)</f>
        <v/>
      </c>
      <c r="M105" s="108">
        <f>IFERROR(F105/J105,0)</f>
        <v/>
      </c>
      <c r="N105" s="103">
        <f>IFERROR(F105/I105,0)</f>
        <v/>
      </c>
      <c r="O105" s="106">
        <f>IFERROR((G105-F105)/F105,0)</f>
        <v/>
      </c>
      <c r="P105" s="106">
        <f>IFERROR(I105/H105,0)</f>
        <v/>
      </c>
      <c r="Q105" s="102" t="inlineStr">
        <is>
          <t>2025-10-01</t>
        </is>
      </c>
      <c r="R105" s="102" t="inlineStr">
        <is>
          <t>2025-12-13</t>
        </is>
      </c>
      <c r="S105" s="102" t="inlineStr">
        <is>
          <t>Marketing Leaders</t>
        </is>
      </c>
      <c r="T105" s="102" t="inlineStr">
        <is>
          <t>Paused</t>
        </is>
      </c>
      <c r="U105" s="102" t="inlineStr">
        <is>
          <t>Product Launch campaign - Marketing Leaders</t>
        </is>
      </c>
    </row>
    <row r="106" ht="15" customHeight="1" s="66">
      <c r="A106" s="94" t="inlineStr">
        <is>
          <t>CAMP-2025105</t>
        </is>
      </c>
      <c r="B106" s="94" t="inlineStr">
        <is>
          <t>Affiliate - Nurture - Q3 Epsilon</t>
        </is>
      </c>
      <c r="C106" s="94" t="inlineStr">
        <is>
          <t>Affiliate</t>
        </is>
      </c>
      <c r="D106" s="94" t="inlineStr">
        <is>
          <t>Nurture</t>
        </is>
      </c>
      <c r="E106" s="94" t="inlineStr">
        <is>
          <t>Q3</t>
        </is>
      </c>
      <c r="F106" s="95" t="n">
        <v>64000</v>
      </c>
      <c r="G106" s="95" t="n">
        <v>110733</v>
      </c>
      <c r="H106" s="97" t="n">
        <v>1475</v>
      </c>
      <c r="I106" s="97" t="n">
        <v>350</v>
      </c>
      <c r="J106" s="97" t="n">
        <v>19501</v>
      </c>
      <c r="K106" s="97" t="n">
        <v>445313</v>
      </c>
      <c r="L106" s="99">
        <f>IFERROR(J106/K106,0)</f>
        <v/>
      </c>
      <c r="M106" s="100">
        <f>IFERROR(F106/J106,0)</f>
        <v/>
      </c>
      <c r="N106" s="95">
        <f>IFERROR(F106/I106,0)</f>
        <v/>
      </c>
      <c r="O106" s="98">
        <f>IFERROR((G106-F106)/F106,0)</f>
        <v/>
      </c>
      <c r="P106" s="98">
        <f>IFERROR(I106/H106,0)</f>
        <v/>
      </c>
      <c r="Q106" s="94" t="inlineStr">
        <is>
          <t>2025-11-12</t>
        </is>
      </c>
      <c r="R106" s="94" t="inlineStr">
        <is>
          <t>2025-12-18</t>
        </is>
      </c>
      <c r="S106" s="94" t="inlineStr">
        <is>
          <t>Finance Teams</t>
        </is>
      </c>
      <c r="T106" s="94" t="inlineStr">
        <is>
          <t>Planning</t>
        </is>
      </c>
      <c r="U106" s="94" t="inlineStr">
        <is>
          <t>Nurture campaign - Finance Teams</t>
        </is>
      </c>
    </row>
    <row r="107" ht="15" customHeight="1" s="66">
      <c r="A107" s="102" t="inlineStr">
        <is>
          <t>CAMP-2025106</t>
        </is>
      </c>
      <c r="B107" s="102" t="inlineStr">
        <is>
          <t>Influencer - Event Promo - Q4 Alpha</t>
        </is>
      </c>
      <c r="C107" s="102" t="inlineStr">
        <is>
          <t>Influencer</t>
        </is>
      </c>
      <c r="D107" s="102" t="inlineStr">
        <is>
          <t>Event Promo</t>
        </is>
      </c>
      <c r="E107" s="102" t="inlineStr">
        <is>
          <t>Q4</t>
        </is>
      </c>
      <c r="F107" s="103" t="n">
        <v>11000</v>
      </c>
      <c r="G107" s="103" t="n">
        <v>28894</v>
      </c>
      <c r="H107" s="105" t="n">
        <v>191</v>
      </c>
      <c r="I107" s="105" t="n">
        <v>18</v>
      </c>
      <c r="J107" s="105" t="n">
        <v>5284</v>
      </c>
      <c r="K107" s="105" t="n">
        <v>186041</v>
      </c>
      <c r="L107" s="107">
        <f>IFERROR(J107/K107,0)</f>
        <v/>
      </c>
      <c r="M107" s="108">
        <f>IFERROR(F107/J107,0)</f>
        <v/>
      </c>
      <c r="N107" s="103">
        <f>IFERROR(F107/I107,0)</f>
        <v/>
      </c>
      <c r="O107" s="106">
        <f>IFERROR((G107-F107)/F107,0)</f>
        <v/>
      </c>
      <c r="P107" s="106">
        <f>IFERROR(I107/H107,0)</f>
        <v/>
      </c>
      <c r="Q107" s="102" t="inlineStr">
        <is>
          <t>2025-07-29</t>
        </is>
      </c>
      <c r="R107" s="102" t="inlineStr">
        <is>
          <t>2025-08-24</t>
        </is>
      </c>
      <c r="S107" s="102" t="inlineStr">
        <is>
          <t>E-commerce</t>
        </is>
      </c>
      <c r="T107" s="102" t="inlineStr">
        <is>
          <t>Planning</t>
        </is>
      </c>
      <c r="U107" s="102" t="inlineStr">
        <is>
          <t>Event Promo campaign - E-commerce</t>
        </is>
      </c>
    </row>
    <row r="108" ht="15" customHeight="1" s="66">
      <c r="A108" s="94" t="inlineStr">
        <is>
          <t>CAMP-2025107</t>
        </is>
      </c>
      <c r="B108" s="94" t="inlineStr">
        <is>
          <t>YouTube Ads - Seasonal - Q4 Beta</t>
        </is>
      </c>
      <c r="C108" s="94" t="inlineStr">
        <is>
          <t>YouTube Ads</t>
        </is>
      </c>
      <c r="D108" s="94" t="inlineStr">
        <is>
          <t>Seasonal</t>
        </is>
      </c>
      <c r="E108" s="94" t="inlineStr">
        <is>
          <t>Q4</t>
        </is>
      </c>
      <c r="F108" s="95" t="n">
        <v>80000</v>
      </c>
      <c r="G108" s="95" t="n">
        <v>194612</v>
      </c>
      <c r="H108" s="97" t="n">
        <v>1653</v>
      </c>
      <c r="I108" s="97" t="n">
        <v>223</v>
      </c>
      <c r="J108" s="97" t="n">
        <v>22510</v>
      </c>
      <c r="K108" s="97" t="n">
        <v>431268</v>
      </c>
      <c r="L108" s="99">
        <f>IFERROR(J108/K108,0)</f>
        <v/>
      </c>
      <c r="M108" s="100">
        <f>IFERROR(F108/J108,0)</f>
        <v/>
      </c>
      <c r="N108" s="95">
        <f>IFERROR(F108/I108,0)</f>
        <v/>
      </c>
      <c r="O108" s="98">
        <f>IFERROR((G108-F108)/F108,0)</f>
        <v/>
      </c>
      <c r="P108" s="98">
        <f>IFERROR(I108/H108,0)</f>
        <v/>
      </c>
      <c r="Q108" s="94" t="inlineStr">
        <is>
          <t>2025-10-22</t>
        </is>
      </c>
      <c r="R108" s="94" t="inlineStr">
        <is>
          <t>2026-01-11</t>
        </is>
      </c>
      <c r="S108" s="94" t="inlineStr">
        <is>
          <t>Tech Startups</t>
        </is>
      </c>
      <c r="T108" s="94" t="inlineStr">
        <is>
          <t>Active</t>
        </is>
      </c>
      <c r="U108" s="94" t="inlineStr">
        <is>
          <t>Seasonal campaign - Tech Startups</t>
        </is>
      </c>
    </row>
    <row r="109" ht="15" customHeight="1" s="66">
      <c r="A109" s="102" t="inlineStr">
        <is>
          <t>CAMP-2025108</t>
        </is>
      </c>
      <c r="B109" s="102" t="inlineStr">
        <is>
          <t>Twitter/X Ads - Upsell - Q4 Gamma</t>
        </is>
      </c>
      <c r="C109" s="102" t="inlineStr">
        <is>
          <t>Twitter/X Ads</t>
        </is>
      </c>
      <c r="D109" s="102" t="inlineStr">
        <is>
          <t>Upsell</t>
        </is>
      </c>
      <c r="E109" s="102" t="inlineStr">
        <is>
          <t>Q4</t>
        </is>
      </c>
      <c r="F109" s="103" t="n">
        <v>70000</v>
      </c>
      <c r="G109" s="103" t="n">
        <v>181023</v>
      </c>
      <c r="H109" s="105" t="n">
        <v>2384</v>
      </c>
      <c r="I109" s="105" t="n">
        <v>587</v>
      </c>
      <c r="J109" s="105" t="n">
        <v>58149</v>
      </c>
      <c r="K109" s="105" t="n">
        <v>1409143</v>
      </c>
      <c r="L109" s="107">
        <f>IFERROR(J109/K109,0)</f>
        <v/>
      </c>
      <c r="M109" s="108">
        <f>IFERROR(F109/J109,0)</f>
        <v/>
      </c>
      <c r="N109" s="103">
        <f>IFERROR(F109/I109,0)</f>
        <v/>
      </c>
      <c r="O109" s="106">
        <f>IFERROR((G109-F109)/F109,0)</f>
        <v/>
      </c>
      <c r="P109" s="106">
        <f>IFERROR(I109/H109,0)</f>
        <v/>
      </c>
      <c r="Q109" s="102" t="inlineStr">
        <is>
          <t>2025-05-04</t>
        </is>
      </c>
      <c r="R109" s="102" t="inlineStr">
        <is>
          <t>2025-06-16</t>
        </is>
      </c>
      <c r="S109" s="102" t="inlineStr">
        <is>
          <t>Healthcare</t>
        </is>
      </c>
      <c r="T109" s="102" t="inlineStr">
        <is>
          <t>Active</t>
        </is>
      </c>
      <c r="U109" s="102" t="inlineStr">
        <is>
          <t>Upsell campaign - Healthcare</t>
        </is>
      </c>
    </row>
    <row r="110" ht="15" customHeight="1" s="66">
      <c r="A110" s="94" t="inlineStr">
        <is>
          <t>CAMP-2025109</t>
        </is>
      </c>
      <c r="B110" s="94" t="inlineStr">
        <is>
          <t>TikTok Ads - Cross-sell - Q1 Delta</t>
        </is>
      </c>
      <c r="C110" s="94" t="inlineStr">
        <is>
          <t>TikTok Ads</t>
        </is>
      </c>
      <c r="D110" s="94" t="inlineStr">
        <is>
          <t>Cross-sell</t>
        </is>
      </c>
      <c r="E110" s="94" t="inlineStr">
        <is>
          <t>Q1</t>
        </is>
      </c>
      <c r="F110" s="95" t="n">
        <v>6000</v>
      </c>
      <c r="G110" s="95" t="n">
        <v>19061</v>
      </c>
      <c r="H110" s="97" t="n">
        <v>122</v>
      </c>
      <c r="I110" s="97" t="n">
        <v>11</v>
      </c>
      <c r="J110" s="97" t="n">
        <v>1634</v>
      </c>
      <c r="K110" s="97" t="n">
        <v>31008</v>
      </c>
      <c r="L110" s="99">
        <f>IFERROR(J110/K110,0)</f>
        <v/>
      </c>
      <c r="M110" s="100">
        <f>IFERROR(F110/J110,0)</f>
        <v/>
      </c>
      <c r="N110" s="95">
        <f>IFERROR(F110/I110,0)</f>
        <v/>
      </c>
      <c r="O110" s="98">
        <f>IFERROR((G110-F110)/F110,0)</f>
        <v/>
      </c>
      <c r="P110" s="98">
        <f>IFERROR(I110/H110,0)</f>
        <v/>
      </c>
      <c r="Q110" s="94" t="inlineStr">
        <is>
          <t>2025-09-16</t>
        </is>
      </c>
      <c r="R110" s="94" t="inlineStr">
        <is>
          <t>2025-10-13</t>
        </is>
      </c>
      <c r="S110" s="94" t="inlineStr">
        <is>
          <t>Retail</t>
        </is>
      </c>
      <c r="T110" s="94" t="inlineStr">
        <is>
          <t>Planning</t>
        </is>
      </c>
      <c r="U110" s="94" t="inlineStr">
        <is>
          <t>Cross-sell campaign - Retail</t>
        </is>
      </c>
    </row>
    <row r="111" ht="15" customHeight="1" s="66">
      <c r="A111" s="102" t="inlineStr">
        <is>
          <t>CAMP-2025110</t>
        </is>
      </c>
      <c r="B111" s="102" t="inlineStr">
        <is>
          <t>Display/Banner - Winback - Q1 Epsilon</t>
        </is>
      </c>
      <c r="C111" s="102" t="inlineStr">
        <is>
          <t>Display/Banner</t>
        </is>
      </c>
      <c r="D111" s="102" t="inlineStr">
        <is>
          <t>Winback</t>
        </is>
      </c>
      <c r="E111" s="102" t="inlineStr">
        <is>
          <t>Q1</t>
        </is>
      </c>
      <c r="F111" s="103" t="n">
        <v>72000</v>
      </c>
      <c r="G111" s="103" t="n">
        <v>219121</v>
      </c>
      <c r="H111" s="105" t="n">
        <v>1354</v>
      </c>
      <c r="I111" s="105" t="n">
        <v>201</v>
      </c>
      <c r="J111" s="105" t="n">
        <v>30801</v>
      </c>
      <c r="K111" s="105" t="n">
        <v>2212369</v>
      </c>
      <c r="L111" s="107">
        <f>IFERROR(J111/K111,0)</f>
        <v/>
      </c>
      <c r="M111" s="108">
        <f>IFERROR(F111/J111,0)</f>
        <v/>
      </c>
      <c r="N111" s="103">
        <f>IFERROR(F111/I111,0)</f>
        <v/>
      </c>
      <c r="O111" s="106">
        <f>IFERROR((G111-F111)/F111,0)</f>
        <v/>
      </c>
      <c r="P111" s="106">
        <f>IFERROR(I111/H111,0)</f>
        <v/>
      </c>
      <c r="Q111" s="102" t="inlineStr">
        <is>
          <t>2025-09-18</t>
        </is>
      </c>
      <c r="R111" s="102" t="inlineStr">
        <is>
          <t>2025-10-19</t>
        </is>
      </c>
      <c r="S111" s="102" t="inlineStr">
        <is>
          <t>SaaS Companies</t>
        </is>
      </c>
      <c r="T111" s="102" t="inlineStr">
        <is>
          <t>Completed</t>
        </is>
      </c>
      <c r="U111" s="102" t="inlineStr">
        <is>
          <t>Winback campaign - SaaS Companies</t>
        </is>
      </c>
    </row>
    <row r="112" ht="15" customHeight="1" s="66">
      <c r="A112" s="94" t="inlineStr">
        <is>
          <t>CAMP-2025111</t>
        </is>
      </c>
      <c r="B112" s="94" t="inlineStr">
        <is>
          <t>Podcast Ads - Brand Awareness - Q1 Alpha</t>
        </is>
      </c>
      <c r="C112" s="94" t="inlineStr">
        <is>
          <t>Podcast Ads</t>
        </is>
      </c>
      <c r="D112" s="94" t="inlineStr">
        <is>
          <t>Brand Awareness</t>
        </is>
      </c>
      <c r="E112" s="94" t="inlineStr">
        <is>
          <t>Q1</t>
        </is>
      </c>
      <c r="F112" s="95" t="n">
        <v>54000</v>
      </c>
      <c r="G112" s="95" t="n">
        <v>131437</v>
      </c>
      <c r="H112" s="97" t="n">
        <v>910</v>
      </c>
      <c r="I112" s="97" t="n">
        <v>148</v>
      </c>
      <c r="J112" s="97" t="n">
        <v>44971</v>
      </c>
      <c r="K112" s="97" t="n">
        <v>873080</v>
      </c>
      <c r="L112" s="99">
        <f>IFERROR(J112/K112,0)</f>
        <v/>
      </c>
      <c r="M112" s="100">
        <f>IFERROR(F112/J112,0)</f>
        <v/>
      </c>
      <c r="N112" s="95">
        <f>IFERROR(F112/I112,0)</f>
        <v/>
      </c>
      <c r="O112" s="98">
        <f>IFERROR((G112-F112)/F112,0)</f>
        <v/>
      </c>
      <c r="P112" s="98">
        <f>IFERROR(I112/H112,0)</f>
        <v/>
      </c>
      <c r="Q112" s="94" t="inlineStr">
        <is>
          <t>2025-07-21</t>
        </is>
      </c>
      <c r="R112" s="94" t="inlineStr">
        <is>
          <t>2025-10-16</t>
        </is>
      </c>
      <c r="S112" s="94" t="inlineStr">
        <is>
          <t>B2B Executives</t>
        </is>
      </c>
      <c r="T112" s="94" t="inlineStr">
        <is>
          <t>Active</t>
        </is>
      </c>
      <c r="U112" s="94" t="inlineStr">
        <is>
          <t>Brand Awareness campaign - B2B Executives</t>
        </is>
      </c>
    </row>
    <row r="113" ht="15" customHeight="1" s="66">
      <c r="A113" s="102" t="inlineStr">
        <is>
          <t>CAMP-2025112</t>
        </is>
      </c>
      <c r="B113" s="102" t="inlineStr">
        <is>
          <t>Webinars - Lead Gen - Q2 Beta</t>
        </is>
      </c>
      <c r="C113" s="102" t="inlineStr">
        <is>
          <t>Webinars</t>
        </is>
      </c>
      <c r="D113" s="102" t="inlineStr">
        <is>
          <t>Lead Gen</t>
        </is>
      </c>
      <c r="E113" s="102" t="inlineStr">
        <is>
          <t>Q2</t>
        </is>
      </c>
      <c r="F113" s="103" t="n">
        <v>49000</v>
      </c>
      <c r="G113" s="103" t="n">
        <v>216182</v>
      </c>
      <c r="H113" s="105" t="n">
        <v>2982</v>
      </c>
      <c r="I113" s="105" t="n">
        <v>512</v>
      </c>
      <c r="J113" s="105" t="n">
        <v>48836</v>
      </c>
      <c r="K113" s="105" t="n">
        <v>1118205</v>
      </c>
      <c r="L113" s="107">
        <f>IFERROR(J113/K113,0)</f>
        <v/>
      </c>
      <c r="M113" s="108">
        <f>IFERROR(F113/J113,0)</f>
        <v/>
      </c>
      <c r="N113" s="103">
        <f>IFERROR(F113/I113,0)</f>
        <v/>
      </c>
      <c r="O113" s="106">
        <f>IFERROR((G113-F113)/F113,0)</f>
        <v/>
      </c>
      <c r="P113" s="106">
        <f>IFERROR(I113/H113,0)</f>
        <v/>
      </c>
      <c r="Q113" s="102" t="inlineStr">
        <is>
          <t>2025-11-26</t>
        </is>
      </c>
      <c r="R113" s="102" t="inlineStr">
        <is>
          <t>2026-01-26</t>
        </is>
      </c>
      <c r="S113" s="102" t="inlineStr">
        <is>
          <t>SMB Owners</t>
        </is>
      </c>
      <c r="T113" s="102" t="inlineStr">
        <is>
          <t>Completed</t>
        </is>
      </c>
      <c r="U113" s="102" t="inlineStr">
        <is>
          <t>Lead Gen campaign - SMB Owners</t>
        </is>
      </c>
    </row>
    <row r="114" ht="15" customHeight="1" s="66">
      <c r="A114" s="94" t="inlineStr">
        <is>
          <t>CAMP-2025113</t>
        </is>
      </c>
      <c r="B114" s="94" t="inlineStr">
        <is>
          <t>Google Ads - Retargeting - Q2 Gamma</t>
        </is>
      </c>
      <c r="C114" s="94" t="inlineStr">
        <is>
          <t>Google Ads</t>
        </is>
      </c>
      <c r="D114" s="94" t="inlineStr">
        <is>
          <t>Retargeting</t>
        </is>
      </c>
      <c r="E114" s="94" t="inlineStr">
        <is>
          <t>Q2</t>
        </is>
      </c>
      <c r="F114" s="95" t="n">
        <v>58000</v>
      </c>
      <c r="G114" s="95" t="n">
        <v>94687</v>
      </c>
      <c r="H114" s="97" t="n">
        <v>1249</v>
      </c>
      <c r="I114" s="97" t="n">
        <v>130</v>
      </c>
      <c r="J114" s="97" t="n">
        <v>32600</v>
      </c>
      <c r="K114" s="97" t="n">
        <v>2375018</v>
      </c>
      <c r="L114" s="99">
        <f>IFERROR(J114/K114,0)</f>
        <v/>
      </c>
      <c r="M114" s="100">
        <f>IFERROR(F114/J114,0)</f>
        <v/>
      </c>
      <c r="N114" s="95">
        <f>IFERROR(F114/I114,0)</f>
        <v/>
      </c>
      <c r="O114" s="98">
        <f>IFERROR((G114-F114)/F114,0)</f>
        <v/>
      </c>
      <c r="P114" s="98">
        <f>IFERROR(I114/H114,0)</f>
        <v/>
      </c>
      <c r="Q114" s="94" t="inlineStr">
        <is>
          <t>2025-04-12</t>
        </is>
      </c>
      <c r="R114" s="94" t="inlineStr">
        <is>
          <t>2025-06-28</t>
        </is>
      </c>
      <c r="S114" s="94" t="inlineStr">
        <is>
          <t>Enterprise IT</t>
        </is>
      </c>
      <c r="T114" s="94" t="inlineStr">
        <is>
          <t>Active</t>
        </is>
      </c>
      <c r="U114" s="94" t="inlineStr">
        <is>
          <t>Retargeting campaign - Enterprise IT</t>
        </is>
      </c>
    </row>
    <row r="115" ht="15" customHeight="1" s="66">
      <c r="A115" s="102" t="inlineStr">
        <is>
          <t>CAMP-2025114</t>
        </is>
      </c>
      <c r="B115" s="102" t="inlineStr">
        <is>
          <t>Facebook Ads - Product Launch - Q2 Delta</t>
        </is>
      </c>
      <c r="C115" s="102" t="inlineStr">
        <is>
          <t>Facebook Ads</t>
        </is>
      </c>
      <c r="D115" s="102" t="inlineStr">
        <is>
          <t>Product Launch</t>
        </is>
      </c>
      <c r="E115" s="102" t="inlineStr">
        <is>
          <t>Q2</t>
        </is>
      </c>
      <c r="F115" s="103" t="n">
        <v>22000</v>
      </c>
      <c r="G115" s="103" t="n">
        <v>62866</v>
      </c>
      <c r="H115" s="105" t="n">
        <v>457</v>
      </c>
      <c r="I115" s="105" t="n">
        <v>110</v>
      </c>
      <c r="J115" s="105" t="n">
        <v>9895</v>
      </c>
      <c r="K115" s="105" t="n">
        <v>138141</v>
      </c>
      <c r="L115" s="107">
        <f>IFERROR(J115/K115,0)</f>
        <v/>
      </c>
      <c r="M115" s="108">
        <f>IFERROR(F115/J115,0)</f>
        <v/>
      </c>
      <c r="N115" s="103">
        <f>IFERROR(F115/I115,0)</f>
        <v/>
      </c>
      <c r="O115" s="106">
        <f>IFERROR((G115-F115)/F115,0)</f>
        <v/>
      </c>
      <c r="P115" s="106">
        <f>IFERROR(I115/H115,0)</f>
        <v/>
      </c>
      <c r="Q115" s="102" t="inlineStr">
        <is>
          <t>2025-08-06</t>
        </is>
      </c>
      <c r="R115" s="102" t="inlineStr">
        <is>
          <t>2025-08-30</t>
        </is>
      </c>
      <c r="S115" s="102" t="inlineStr">
        <is>
          <t>Marketing Leaders</t>
        </is>
      </c>
      <c r="T115" s="102" t="inlineStr">
        <is>
          <t>Completed</t>
        </is>
      </c>
      <c r="U115" s="102" t="inlineStr">
        <is>
          <t>Product Launch campaign - Marketing Leaders</t>
        </is>
      </c>
    </row>
    <row r="116" ht="15" customHeight="1" s="66">
      <c r="A116" s="94" t="inlineStr">
        <is>
          <t>CAMP-2025115</t>
        </is>
      </c>
      <c r="B116" s="94" t="inlineStr">
        <is>
          <t>LinkedIn Ads - Nurture - Q3 Epsilon</t>
        </is>
      </c>
      <c r="C116" s="94" t="inlineStr">
        <is>
          <t>LinkedIn Ads</t>
        </is>
      </c>
      <c r="D116" s="94" t="inlineStr">
        <is>
          <t>Nurture</t>
        </is>
      </c>
      <c r="E116" s="94" t="inlineStr">
        <is>
          <t>Q3</t>
        </is>
      </c>
      <c r="F116" s="95" t="n">
        <v>8000</v>
      </c>
      <c r="G116" s="95" t="n">
        <v>27575</v>
      </c>
      <c r="H116" s="97" t="n">
        <v>237</v>
      </c>
      <c r="I116" s="97" t="n">
        <v>21</v>
      </c>
      <c r="J116" s="97" t="n">
        <v>2665</v>
      </c>
      <c r="K116" s="97" t="n">
        <v>41288</v>
      </c>
      <c r="L116" s="99">
        <f>IFERROR(J116/K116,0)</f>
        <v/>
      </c>
      <c r="M116" s="100">
        <f>IFERROR(F116/J116,0)</f>
        <v/>
      </c>
      <c r="N116" s="95">
        <f>IFERROR(F116/I116,0)</f>
        <v/>
      </c>
      <c r="O116" s="98">
        <f>IFERROR((G116-F116)/F116,0)</f>
        <v/>
      </c>
      <c r="P116" s="98">
        <f>IFERROR(I116/H116,0)</f>
        <v/>
      </c>
      <c r="Q116" s="94" t="inlineStr">
        <is>
          <t>2025-11-24</t>
        </is>
      </c>
      <c r="R116" s="94" t="inlineStr">
        <is>
          <t>2025-12-24</t>
        </is>
      </c>
      <c r="S116" s="94" t="inlineStr">
        <is>
          <t>Finance Teams</t>
        </is>
      </c>
      <c r="T116" s="94" t="inlineStr">
        <is>
          <t>Active</t>
        </is>
      </c>
      <c r="U116" s="94" t="inlineStr">
        <is>
          <t>Nurture campaign - Finance Teams</t>
        </is>
      </c>
    </row>
    <row r="117" ht="15" customHeight="1" s="66">
      <c r="A117" s="102" t="inlineStr">
        <is>
          <t>CAMP-2025116</t>
        </is>
      </c>
      <c r="B117" s="102" t="inlineStr">
        <is>
          <t>Email Marketing - Event Promo - Q3 Alpha</t>
        </is>
      </c>
      <c r="C117" s="102" t="inlineStr">
        <is>
          <t>Email Marketing</t>
        </is>
      </c>
      <c r="D117" s="102" t="inlineStr">
        <is>
          <t>Event Promo</t>
        </is>
      </c>
      <c r="E117" s="102" t="inlineStr">
        <is>
          <t>Q3</t>
        </is>
      </c>
      <c r="F117" s="103" t="n">
        <v>5000</v>
      </c>
      <c r="G117" s="103" t="n">
        <v>13099</v>
      </c>
      <c r="H117" s="105" t="n">
        <v>114</v>
      </c>
      <c r="I117" s="105" t="n">
        <v>25</v>
      </c>
      <c r="J117" s="105" t="n">
        <v>0</v>
      </c>
      <c r="K117" s="105" t="n">
        <v>0</v>
      </c>
      <c r="L117" s="107">
        <f>IFERROR(J117/K117,0)</f>
        <v/>
      </c>
      <c r="M117" s="108">
        <f>IFERROR(F117/J117,0)</f>
        <v/>
      </c>
      <c r="N117" s="103">
        <f>IFERROR(F117/I117,0)</f>
        <v/>
      </c>
      <c r="O117" s="106">
        <f>IFERROR((G117-F117)/F117,0)</f>
        <v/>
      </c>
      <c r="P117" s="106">
        <f>IFERROR(I117/H117,0)</f>
        <v/>
      </c>
      <c r="Q117" s="102" t="inlineStr">
        <is>
          <t>2025-08-09</t>
        </is>
      </c>
      <c r="R117" s="102" t="inlineStr">
        <is>
          <t>2025-10-31</t>
        </is>
      </c>
      <c r="S117" s="102" t="inlineStr">
        <is>
          <t>E-commerce</t>
        </is>
      </c>
      <c r="T117" s="102" t="inlineStr">
        <is>
          <t>Completed</t>
        </is>
      </c>
      <c r="U117" s="102" t="inlineStr">
        <is>
          <t>Event Promo campaign - E-commerce</t>
        </is>
      </c>
    </row>
    <row r="118" ht="15" customHeight="1" s="66">
      <c r="A118" s="94" t="inlineStr">
        <is>
          <t>CAMP-2025117</t>
        </is>
      </c>
      <c r="B118" s="94" t="inlineStr">
        <is>
          <t>SEO/Organic - Seasonal - Q3 Beta</t>
        </is>
      </c>
      <c r="C118" s="94" t="inlineStr">
        <is>
          <t>SEO/Organic</t>
        </is>
      </c>
      <c r="D118" s="94" t="inlineStr">
        <is>
          <t>Seasonal</t>
        </is>
      </c>
      <c r="E118" s="94" t="inlineStr">
        <is>
          <t>Q3</t>
        </is>
      </c>
      <c r="F118" s="95" t="n">
        <v>47000</v>
      </c>
      <c r="G118" s="95" t="n">
        <v>141597</v>
      </c>
      <c r="H118" s="97" t="n">
        <v>931</v>
      </c>
      <c r="I118" s="97" t="n">
        <v>187</v>
      </c>
      <c r="J118" s="97" t="n">
        <v>0</v>
      </c>
      <c r="K118" s="97" t="n">
        <v>0</v>
      </c>
      <c r="L118" s="99">
        <f>IFERROR(J118/K118,0)</f>
        <v/>
      </c>
      <c r="M118" s="100">
        <f>IFERROR(F118/J118,0)</f>
        <v/>
      </c>
      <c r="N118" s="95">
        <f>IFERROR(F118/I118,0)</f>
        <v/>
      </c>
      <c r="O118" s="98">
        <f>IFERROR((G118-F118)/F118,0)</f>
        <v/>
      </c>
      <c r="P118" s="98">
        <f>IFERROR(I118/H118,0)</f>
        <v/>
      </c>
      <c r="Q118" s="94" t="inlineStr">
        <is>
          <t>2025-05-18</t>
        </is>
      </c>
      <c r="R118" s="94" t="inlineStr">
        <is>
          <t>2025-07-20</t>
        </is>
      </c>
      <c r="S118" s="94" t="inlineStr">
        <is>
          <t>Tech Startups</t>
        </is>
      </c>
      <c r="T118" s="94" t="inlineStr">
        <is>
          <t>Completed</t>
        </is>
      </c>
      <c r="U118" s="94" t="inlineStr">
        <is>
          <t>Seasonal campaign - Tech Startups</t>
        </is>
      </c>
    </row>
    <row r="119" ht="15" customHeight="1" s="66">
      <c r="A119" s="102" t="inlineStr">
        <is>
          <t>CAMP-2025118</t>
        </is>
      </c>
      <c r="B119" s="102" t="inlineStr">
        <is>
          <t>Content Marketing - Upsell - Q4 Gamma</t>
        </is>
      </c>
      <c r="C119" s="102" t="inlineStr">
        <is>
          <t>Content Marketing</t>
        </is>
      </c>
      <c r="D119" s="102" t="inlineStr">
        <is>
          <t>Upsell</t>
        </is>
      </c>
      <c r="E119" s="102" t="inlineStr">
        <is>
          <t>Q4</t>
        </is>
      </c>
      <c r="F119" s="103" t="n">
        <v>47000</v>
      </c>
      <c r="G119" s="103" t="n">
        <v>122485</v>
      </c>
      <c r="H119" s="105" t="n">
        <v>1652</v>
      </c>
      <c r="I119" s="105" t="n">
        <v>377</v>
      </c>
      <c r="J119" s="105" t="n">
        <v>0</v>
      </c>
      <c r="K119" s="105" t="n">
        <v>0</v>
      </c>
      <c r="L119" s="107">
        <f>IFERROR(J119/K119,0)</f>
        <v/>
      </c>
      <c r="M119" s="108">
        <f>IFERROR(F119/J119,0)</f>
        <v/>
      </c>
      <c r="N119" s="103">
        <f>IFERROR(F119/I119,0)</f>
        <v/>
      </c>
      <c r="O119" s="106">
        <f>IFERROR((G119-F119)/F119,0)</f>
        <v/>
      </c>
      <c r="P119" s="106">
        <f>IFERROR(I119/H119,0)</f>
        <v/>
      </c>
      <c r="Q119" s="102" t="inlineStr">
        <is>
          <t>2025-03-19</t>
        </is>
      </c>
      <c r="R119" s="102" t="inlineStr">
        <is>
          <t>2025-05-10</t>
        </is>
      </c>
      <c r="S119" s="102" t="inlineStr">
        <is>
          <t>Healthcare</t>
        </is>
      </c>
      <c r="T119" s="102" t="inlineStr">
        <is>
          <t>Completed</t>
        </is>
      </c>
      <c r="U119" s="102" t="inlineStr">
        <is>
          <t>Upsell campaign - Healthcare</t>
        </is>
      </c>
    </row>
    <row r="120" ht="15" customHeight="1" s="66">
      <c r="A120" s="94" t="inlineStr">
        <is>
          <t>CAMP-2025119</t>
        </is>
      </c>
      <c r="B120" s="94" t="inlineStr">
        <is>
          <t>Affiliate - Cross-sell - Q4 Delta</t>
        </is>
      </c>
      <c r="C120" s="94" t="inlineStr">
        <is>
          <t>Affiliate</t>
        </is>
      </c>
      <c r="D120" s="94" t="inlineStr">
        <is>
          <t>Cross-sell</t>
        </is>
      </c>
      <c r="E120" s="94" t="inlineStr">
        <is>
          <t>Q4</t>
        </is>
      </c>
      <c r="F120" s="95" t="n">
        <v>51000</v>
      </c>
      <c r="G120" s="95" t="n">
        <v>147585</v>
      </c>
      <c r="H120" s="97" t="n">
        <v>1204</v>
      </c>
      <c r="I120" s="97" t="n">
        <v>98</v>
      </c>
      <c r="J120" s="97" t="n">
        <v>20750</v>
      </c>
      <c r="K120" s="97" t="n">
        <v>409217</v>
      </c>
      <c r="L120" s="99">
        <f>IFERROR(J120/K120,0)</f>
        <v/>
      </c>
      <c r="M120" s="100">
        <f>IFERROR(F120/J120,0)</f>
        <v/>
      </c>
      <c r="N120" s="95">
        <f>IFERROR(F120/I120,0)</f>
        <v/>
      </c>
      <c r="O120" s="98">
        <f>IFERROR((G120-F120)/F120,0)</f>
        <v/>
      </c>
      <c r="P120" s="98">
        <f>IFERROR(I120/H120,0)</f>
        <v/>
      </c>
      <c r="Q120" s="94" t="inlineStr">
        <is>
          <t>2025-10-17</t>
        </is>
      </c>
      <c r="R120" s="94" t="inlineStr">
        <is>
          <t>2025-12-29</t>
        </is>
      </c>
      <c r="S120" s="94" t="inlineStr">
        <is>
          <t>Retail</t>
        </is>
      </c>
      <c r="T120" s="94" t="inlineStr">
        <is>
          <t>Active</t>
        </is>
      </c>
      <c r="U120" s="94" t="inlineStr">
        <is>
          <t>Cross-sell campaign - Retail</t>
        </is>
      </c>
    </row>
    <row r="121" ht="15" customHeight="1" s="66">
      <c r="A121" s="102" t="inlineStr">
        <is>
          <t>CAMP-2025120</t>
        </is>
      </c>
      <c r="B121" s="102" t="inlineStr">
        <is>
          <t>Influencer - Winback - Q4 Epsilon</t>
        </is>
      </c>
      <c r="C121" s="102" t="inlineStr">
        <is>
          <t>Influencer</t>
        </is>
      </c>
      <c r="D121" s="102" t="inlineStr">
        <is>
          <t>Winback</t>
        </is>
      </c>
      <c r="E121" s="102" t="inlineStr">
        <is>
          <t>Q4</t>
        </is>
      </c>
      <c r="F121" s="103" t="n">
        <v>67000</v>
      </c>
      <c r="G121" s="103" t="n">
        <v>291645</v>
      </c>
      <c r="H121" s="105" t="n">
        <v>1809</v>
      </c>
      <c r="I121" s="105" t="n">
        <v>283</v>
      </c>
      <c r="J121" s="105" t="n">
        <v>28442</v>
      </c>
      <c r="K121" s="105" t="n">
        <v>420539</v>
      </c>
      <c r="L121" s="107">
        <f>IFERROR(J121/K121,0)</f>
        <v/>
      </c>
      <c r="M121" s="108">
        <f>IFERROR(F121/J121,0)</f>
        <v/>
      </c>
      <c r="N121" s="103">
        <f>IFERROR(F121/I121,0)</f>
        <v/>
      </c>
      <c r="O121" s="106">
        <f>IFERROR((G121-F121)/F121,0)</f>
        <v/>
      </c>
      <c r="P121" s="106">
        <f>IFERROR(I121/H121,0)</f>
        <v/>
      </c>
      <c r="Q121" s="102" t="inlineStr">
        <is>
          <t>2025-07-18</t>
        </is>
      </c>
      <c r="R121" s="102" t="inlineStr">
        <is>
          <t>2025-09-04</t>
        </is>
      </c>
      <c r="S121" s="102" t="inlineStr">
        <is>
          <t>SaaS Companies</t>
        </is>
      </c>
      <c r="T121" s="102" t="inlineStr">
        <is>
          <t>Active</t>
        </is>
      </c>
      <c r="U121" s="102" t="inlineStr">
        <is>
          <t>Winback campaign - SaaS Companies</t>
        </is>
      </c>
    </row>
    <row r="122" ht="15" customHeight="1" s="66">
      <c r="A122" s="94" t="inlineStr">
        <is>
          <t>CAMP-2025121</t>
        </is>
      </c>
      <c r="B122" s="94" t="inlineStr">
        <is>
          <t>YouTube Ads - Brand Awareness - Q1 Alpha</t>
        </is>
      </c>
      <c r="C122" s="94" t="inlineStr">
        <is>
          <t>YouTube Ads</t>
        </is>
      </c>
      <c r="D122" s="94" t="inlineStr">
        <is>
          <t>Brand Awareness</t>
        </is>
      </c>
      <c r="E122" s="94" t="inlineStr">
        <is>
          <t>Q1</t>
        </is>
      </c>
      <c r="F122" s="95" t="n">
        <v>17000</v>
      </c>
      <c r="G122" s="95" t="n">
        <v>37503</v>
      </c>
      <c r="H122" s="97" t="n">
        <v>311</v>
      </c>
      <c r="I122" s="97" t="n">
        <v>58</v>
      </c>
      <c r="J122" s="97" t="n">
        <v>14441</v>
      </c>
      <c r="K122" s="97" t="n">
        <v>1070387</v>
      </c>
      <c r="L122" s="99">
        <f>IFERROR(J122/K122,0)</f>
        <v/>
      </c>
      <c r="M122" s="100">
        <f>IFERROR(F122/J122,0)</f>
        <v/>
      </c>
      <c r="N122" s="95">
        <f>IFERROR(F122/I122,0)</f>
        <v/>
      </c>
      <c r="O122" s="98">
        <f>IFERROR((G122-F122)/F122,0)</f>
        <v/>
      </c>
      <c r="P122" s="98">
        <f>IFERROR(I122/H122,0)</f>
        <v/>
      </c>
      <c r="Q122" s="94" t="inlineStr">
        <is>
          <t>2025-10-09</t>
        </is>
      </c>
      <c r="R122" s="94" t="inlineStr">
        <is>
          <t>2026-01-04</t>
        </is>
      </c>
      <c r="S122" s="94" t="inlineStr">
        <is>
          <t>B2B Executives</t>
        </is>
      </c>
      <c r="T122" s="94" t="inlineStr">
        <is>
          <t>Active</t>
        </is>
      </c>
      <c r="U122" s="94" t="inlineStr">
        <is>
          <t>Brand Awareness campaign - B2B Executives</t>
        </is>
      </c>
    </row>
    <row r="123" ht="15" customHeight="1" s="66">
      <c r="A123" s="102" t="inlineStr">
        <is>
          <t>CAMP-2025122</t>
        </is>
      </c>
      <c r="B123" s="102" t="inlineStr">
        <is>
          <t>Twitter/X Ads - Lead Gen - Q1 Beta</t>
        </is>
      </c>
      <c r="C123" s="102" t="inlineStr">
        <is>
          <t>Twitter/X Ads</t>
        </is>
      </c>
      <c r="D123" s="102" t="inlineStr">
        <is>
          <t>Lead Gen</t>
        </is>
      </c>
      <c r="E123" s="102" t="inlineStr">
        <is>
          <t>Q1</t>
        </is>
      </c>
      <c r="F123" s="103" t="n">
        <v>41000</v>
      </c>
      <c r="G123" s="103" t="n">
        <v>105291</v>
      </c>
      <c r="H123" s="105" t="n">
        <v>799</v>
      </c>
      <c r="I123" s="105" t="n">
        <v>160</v>
      </c>
      <c r="J123" s="105" t="n">
        <v>23149</v>
      </c>
      <c r="K123" s="105" t="n">
        <v>973120</v>
      </c>
      <c r="L123" s="107">
        <f>IFERROR(J123/K123,0)</f>
        <v/>
      </c>
      <c r="M123" s="108">
        <f>IFERROR(F123/J123,0)</f>
        <v/>
      </c>
      <c r="N123" s="103">
        <f>IFERROR(F123/I123,0)</f>
        <v/>
      </c>
      <c r="O123" s="106">
        <f>IFERROR((G123-F123)/F123,0)</f>
        <v/>
      </c>
      <c r="P123" s="106">
        <f>IFERROR(I123/H123,0)</f>
        <v/>
      </c>
      <c r="Q123" s="102" t="inlineStr">
        <is>
          <t>2025-05-20</t>
        </is>
      </c>
      <c r="R123" s="102" t="inlineStr">
        <is>
          <t>2025-07-15</t>
        </is>
      </c>
      <c r="S123" s="102" t="inlineStr">
        <is>
          <t>SMB Owners</t>
        </is>
      </c>
      <c r="T123" s="102" t="inlineStr">
        <is>
          <t>Completed</t>
        </is>
      </c>
      <c r="U123" s="102" t="inlineStr">
        <is>
          <t>Lead Gen campaign - SMB Owners</t>
        </is>
      </c>
    </row>
    <row r="124" ht="15" customHeight="1" s="66">
      <c r="A124" s="94" t="inlineStr">
        <is>
          <t>CAMP-2025123</t>
        </is>
      </c>
      <c r="B124" s="94" t="inlineStr">
        <is>
          <t>TikTok Ads - Retargeting - Q1 Gamma</t>
        </is>
      </c>
      <c r="C124" s="94" t="inlineStr">
        <is>
          <t>TikTok Ads</t>
        </is>
      </c>
      <c r="D124" s="94" t="inlineStr">
        <is>
          <t>Retargeting</t>
        </is>
      </c>
      <c r="E124" s="94" t="inlineStr">
        <is>
          <t>Q1</t>
        </is>
      </c>
      <c r="F124" s="95" t="n">
        <v>72000</v>
      </c>
      <c r="G124" s="95" t="n">
        <v>137670</v>
      </c>
      <c r="H124" s="97" t="n">
        <v>1606</v>
      </c>
      <c r="I124" s="97" t="n">
        <v>287</v>
      </c>
      <c r="J124" s="97" t="n">
        <v>18424</v>
      </c>
      <c r="K124" s="97" t="n">
        <v>650193</v>
      </c>
      <c r="L124" s="99">
        <f>IFERROR(J124/K124,0)</f>
        <v/>
      </c>
      <c r="M124" s="100">
        <f>IFERROR(F124/J124,0)</f>
        <v/>
      </c>
      <c r="N124" s="95">
        <f>IFERROR(F124/I124,0)</f>
        <v/>
      </c>
      <c r="O124" s="98">
        <f>IFERROR((G124-F124)/F124,0)</f>
        <v/>
      </c>
      <c r="P124" s="98">
        <f>IFERROR(I124/H124,0)</f>
        <v/>
      </c>
      <c r="Q124" s="94" t="inlineStr">
        <is>
          <t>2025-10-04</t>
        </is>
      </c>
      <c r="R124" s="94" t="inlineStr">
        <is>
          <t>2025-11-01</t>
        </is>
      </c>
      <c r="S124" s="94" t="inlineStr">
        <is>
          <t>Enterprise IT</t>
        </is>
      </c>
      <c r="T124" s="94" t="inlineStr">
        <is>
          <t>Completed</t>
        </is>
      </c>
      <c r="U124" s="94" t="inlineStr">
        <is>
          <t>Retargeting campaign - Enterprise IT</t>
        </is>
      </c>
    </row>
    <row r="125" ht="15" customHeight="1" s="66">
      <c r="A125" s="102" t="inlineStr">
        <is>
          <t>CAMP-2025124</t>
        </is>
      </c>
      <c r="B125" s="102" t="inlineStr">
        <is>
          <t>Display/Banner - Product Launch - Q2 Delta</t>
        </is>
      </c>
      <c r="C125" s="102" t="inlineStr">
        <is>
          <t>Display/Banner</t>
        </is>
      </c>
      <c r="D125" s="102" t="inlineStr">
        <is>
          <t>Product Launch</t>
        </is>
      </c>
      <c r="E125" s="102" t="inlineStr">
        <is>
          <t>Q2</t>
        </is>
      </c>
      <c r="F125" s="103" t="n">
        <v>64000</v>
      </c>
      <c r="G125" s="103" t="n">
        <v>190434</v>
      </c>
      <c r="H125" s="105" t="n">
        <v>1690</v>
      </c>
      <c r="I125" s="105" t="n">
        <v>262</v>
      </c>
      <c r="J125" s="105" t="n">
        <v>22439</v>
      </c>
      <c r="K125" s="105" t="n">
        <v>2037259</v>
      </c>
      <c r="L125" s="107">
        <f>IFERROR(J125/K125,0)</f>
        <v/>
      </c>
      <c r="M125" s="108">
        <f>IFERROR(F125/J125,0)</f>
        <v/>
      </c>
      <c r="N125" s="103">
        <f>IFERROR(F125/I125,0)</f>
        <v/>
      </c>
      <c r="O125" s="106">
        <f>IFERROR((G125-F125)/F125,0)</f>
        <v/>
      </c>
      <c r="P125" s="106">
        <f>IFERROR(I125/H125,0)</f>
        <v/>
      </c>
      <c r="Q125" s="102" t="inlineStr">
        <is>
          <t>2025-10-18</t>
        </is>
      </c>
      <c r="R125" s="102" t="inlineStr">
        <is>
          <t>2025-11-01</t>
        </is>
      </c>
      <c r="S125" s="102" t="inlineStr">
        <is>
          <t>Marketing Leaders</t>
        </is>
      </c>
      <c r="T125" s="102" t="inlineStr">
        <is>
          <t>Completed</t>
        </is>
      </c>
      <c r="U125" s="102" t="inlineStr">
        <is>
          <t>Product Launch campaign - Marketing Leaders</t>
        </is>
      </c>
    </row>
    <row r="126" ht="15" customHeight="1" s="66">
      <c r="A126" s="94" t="inlineStr">
        <is>
          <t>CAMP-2025125</t>
        </is>
      </c>
      <c r="B126" s="94" t="inlineStr">
        <is>
          <t>Podcast Ads - Nurture - Q2 Epsilon</t>
        </is>
      </c>
      <c r="C126" s="94" t="inlineStr">
        <is>
          <t>Podcast Ads</t>
        </is>
      </c>
      <c r="D126" s="94" t="inlineStr">
        <is>
          <t>Nurture</t>
        </is>
      </c>
      <c r="E126" s="94" t="inlineStr">
        <is>
          <t>Q2</t>
        </is>
      </c>
      <c r="F126" s="95" t="n">
        <v>36000</v>
      </c>
      <c r="G126" s="95" t="n">
        <v>114000</v>
      </c>
      <c r="H126" s="97" t="n">
        <v>1170</v>
      </c>
      <c r="I126" s="97" t="n">
        <v>132</v>
      </c>
      <c r="J126" s="97" t="n">
        <v>9213</v>
      </c>
      <c r="K126" s="97" t="n">
        <v>139473</v>
      </c>
      <c r="L126" s="99">
        <f>IFERROR(J126/K126,0)</f>
        <v/>
      </c>
      <c r="M126" s="100">
        <f>IFERROR(F126/J126,0)</f>
        <v/>
      </c>
      <c r="N126" s="95">
        <f>IFERROR(F126/I126,0)</f>
        <v/>
      </c>
      <c r="O126" s="98">
        <f>IFERROR((G126-F126)/F126,0)</f>
        <v/>
      </c>
      <c r="P126" s="98">
        <f>IFERROR(I126/H126,0)</f>
        <v/>
      </c>
      <c r="Q126" s="94" t="inlineStr">
        <is>
          <t>2025-06-07</t>
        </is>
      </c>
      <c r="R126" s="94" t="inlineStr">
        <is>
          <t>2025-07-28</t>
        </is>
      </c>
      <c r="S126" s="94" t="inlineStr">
        <is>
          <t>Finance Teams</t>
        </is>
      </c>
      <c r="T126" s="94" t="inlineStr">
        <is>
          <t>Paused</t>
        </is>
      </c>
      <c r="U126" s="94" t="inlineStr">
        <is>
          <t>Nurture campaign - Finance Teams</t>
        </is>
      </c>
    </row>
    <row r="127" ht="15" customHeight="1" s="66">
      <c r="A127" s="102" t="inlineStr">
        <is>
          <t>CAMP-2025126</t>
        </is>
      </c>
      <c r="B127" s="102" t="inlineStr">
        <is>
          <t>Webinars - Event Promo - Q2 Alpha</t>
        </is>
      </c>
      <c r="C127" s="102" t="inlineStr">
        <is>
          <t>Webinars</t>
        </is>
      </c>
      <c r="D127" s="102" t="inlineStr">
        <is>
          <t>Event Promo</t>
        </is>
      </c>
      <c r="E127" s="102" t="inlineStr">
        <is>
          <t>Q2</t>
        </is>
      </c>
      <c r="F127" s="103" t="n">
        <v>24000</v>
      </c>
      <c r="G127" s="103" t="n">
        <v>56152</v>
      </c>
      <c r="H127" s="105" t="n">
        <v>712</v>
      </c>
      <c r="I127" s="105" t="n">
        <v>153</v>
      </c>
      <c r="J127" s="105" t="n">
        <v>8508</v>
      </c>
      <c r="K127" s="105" t="n">
        <v>563908</v>
      </c>
      <c r="L127" s="107">
        <f>IFERROR(J127/K127,0)</f>
        <v/>
      </c>
      <c r="M127" s="108">
        <f>IFERROR(F127/J127,0)</f>
        <v/>
      </c>
      <c r="N127" s="103">
        <f>IFERROR(F127/I127,0)</f>
        <v/>
      </c>
      <c r="O127" s="106">
        <f>IFERROR((G127-F127)/F127,0)</f>
        <v/>
      </c>
      <c r="P127" s="106">
        <f>IFERROR(I127/H127,0)</f>
        <v/>
      </c>
      <c r="Q127" s="102" t="inlineStr">
        <is>
          <t>2025-08-10</t>
        </is>
      </c>
      <c r="R127" s="102" t="inlineStr">
        <is>
          <t>2025-09-24</t>
        </is>
      </c>
      <c r="S127" s="102" t="inlineStr">
        <is>
          <t>E-commerce</t>
        </is>
      </c>
      <c r="T127" s="102" t="inlineStr">
        <is>
          <t>Completed</t>
        </is>
      </c>
      <c r="U127" s="102" t="inlineStr">
        <is>
          <t>Event Promo campaign - E-commerce</t>
        </is>
      </c>
    </row>
    <row r="128" ht="15" customHeight="1" s="66">
      <c r="A128" s="94" t="inlineStr">
        <is>
          <t>CAMP-2025127</t>
        </is>
      </c>
      <c r="B128" s="94" t="inlineStr">
        <is>
          <t>Google Ads - Seasonal - Q3 Beta</t>
        </is>
      </c>
      <c r="C128" s="94" t="inlineStr">
        <is>
          <t>Google Ads</t>
        </is>
      </c>
      <c r="D128" s="94" t="inlineStr">
        <is>
          <t>Seasonal</t>
        </is>
      </c>
      <c r="E128" s="94" t="inlineStr">
        <is>
          <t>Q3</t>
        </is>
      </c>
      <c r="F128" s="95" t="n">
        <v>50000</v>
      </c>
      <c r="G128" s="95" t="n">
        <v>155033</v>
      </c>
      <c r="H128" s="97" t="n">
        <v>1036</v>
      </c>
      <c r="I128" s="97" t="n">
        <v>189</v>
      </c>
      <c r="J128" s="97" t="n">
        <v>41951</v>
      </c>
      <c r="K128" s="97" t="n">
        <v>1051498</v>
      </c>
      <c r="L128" s="99">
        <f>IFERROR(J128/K128,0)</f>
        <v/>
      </c>
      <c r="M128" s="100">
        <f>IFERROR(F128/J128,0)</f>
        <v/>
      </c>
      <c r="N128" s="95">
        <f>IFERROR(F128/I128,0)</f>
        <v/>
      </c>
      <c r="O128" s="98">
        <f>IFERROR((G128-F128)/F128,0)</f>
        <v/>
      </c>
      <c r="P128" s="98">
        <f>IFERROR(I128/H128,0)</f>
        <v/>
      </c>
      <c r="Q128" s="94" t="inlineStr">
        <is>
          <t>2025-05-02</t>
        </is>
      </c>
      <c r="R128" s="94" t="inlineStr">
        <is>
          <t>2025-07-06</t>
        </is>
      </c>
      <c r="S128" s="94" t="inlineStr">
        <is>
          <t>Tech Startups</t>
        </is>
      </c>
      <c r="T128" s="94" t="inlineStr">
        <is>
          <t>Completed</t>
        </is>
      </c>
      <c r="U128" s="94" t="inlineStr">
        <is>
          <t>Seasonal campaign - Tech Startups</t>
        </is>
      </c>
    </row>
    <row r="129" ht="15" customHeight="1" s="66">
      <c r="A129" s="102" t="inlineStr">
        <is>
          <t>CAMP-2025128</t>
        </is>
      </c>
      <c r="B129" s="102" t="inlineStr">
        <is>
          <t>Facebook Ads - Upsell - Q3 Gamma</t>
        </is>
      </c>
      <c r="C129" s="102" t="inlineStr">
        <is>
          <t>Facebook Ads</t>
        </is>
      </c>
      <c r="D129" s="102" t="inlineStr">
        <is>
          <t>Upsell</t>
        </is>
      </c>
      <c r="E129" s="102" t="inlineStr">
        <is>
          <t>Q3</t>
        </is>
      </c>
      <c r="F129" s="103" t="n">
        <v>58000</v>
      </c>
      <c r="G129" s="103" t="n">
        <v>112740</v>
      </c>
      <c r="H129" s="105" t="n">
        <v>2523</v>
      </c>
      <c r="I129" s="105" t="n">
        <v>592</v>
      </c>
      <c r="J129" s="105" t="n">
        <v>54649</v>
      </c>
      <c r="K129" s="105" t="n">
        <v>1001708</v>
      </c>
      <c r="L129" s="107">
        <f>IFERROR(J129/K129,0)</f>
        <v/>
      </c>
      <c r="M129" s="108">
        <f>IFERROR(F129/J129,0)</f>
        <v/>
      </c>
      <c r="N129" s="103">
        <f>IFERROR(F129/I129,0)</f>
        <v/>
      </c>
      <c r="O129" s="106">
        <f>IFERROR((G129-F129)/F129,0)</f>
        <v/>
      </c>
      <c r="P129" s="106">
        <f>IFERROR(I129/H129,0)</f>
        <v/>
      </c>
      <c r="Q129" s="102" t="inlineStr">
        <is>
          <t>2025-01-01</t>
        </is>
      </c>
      <c r="R129" s="102" t="inlineStr">
        <is>
          <t>2025-04-01</t>
        </is>
      </c>
      <c r="S129" s="102" t="inlineStr">
        <is>
          <t>Healthcare</t>
        </is>
      </c>
      <c r="T129" s="102" t="inlineStr">
        <is>
          <t>Completed</t>
        </is>
      </c>
      <c r="U129" s="102" t="inlineStr">
        <is>
          <t>Upsell campaign - Healthcare</t>
        </is>
      </c>
    </row>
    <row r="130" ht="15" customHeight="1" s="66">
      <c r="A130" s="94" t="inlineStr">
        <is>
          <t>CAMP-2025129</t>
        </is>
      </c>
      <c r="B130" s="94" t="inlineStr">
        <is>
          <t>LinkedIn Ads - Cross-sell - Q3 Delta</t>
        </is>
      </c>
      <c r="C130" s="94" t="inlineStr">
        <is>
          <t>LinkedIn Ads</t>
        </is>
      </c>
      <c r="D130" s="94" t="inlineStr">
        <is>
          <t>Cross-sell</t>
        </is>
      </c>
      <c r="E130" s="94" t="inlineStr">
        <is>
          <t>Q3</t>
        </is>
      </c>
      <c r="F130" s="95" t="n">
        <v>19000</v>
      </c>
      <c r="G130" s="95" t="n">
        <v>74159</v>
      </c>
      <c r="H130" s="97" t="n">
        <v>389</v>
      </c>
      <c r="I130" s="97" t="n">
        <v>58</v>
      </c>
      <c r="J130" s="97" t="n">
        <v>21898</v>
      </c>
      <c r="K130" s="97" t="n">
        <v>309271</v>
      </c>
      <c r="L130" s="99">
        <f>IFERROR(J130/K130,0)</f>
        <v/>
      </c>
      <c r="M130" s="100">
        <f>IFERROR(F130/J130,0)</f>
        <v/>
      </c>
      <c r="N130" s="95">
        <f>IFERROR(F130/I130,0)</f>
        <v/>
      </c>
      <c r="O130" s="98">
        <f>IFERROR((G130-F130)/F130,0)</f>
        <v/>
      </c>
      <c r="P130" s="98">
        <f>IFERROR(I130/H130,0)</f>
        <v/>
      </c>
      <c r="Q130" s="94" t="inlineStr">
        <is>
          <t>2025-04-12</t>
        </is>
      </c>
      <c r="R130" s="94" t="inlineStr">
        <is>
          <t>2025-06-15</t>
        </is>
      </c>
      <c r="S130" s="94" t="inlineStr">
        <is>
          <t>Retail</t>
        </is>
      </c>
      <c r="T130" s="94" t="inlineStr">
        <is>
          <t>Completed</t>
        </is>
      </c>
      <c r="U130" s="94" t="inlineStr">
        <is>
          <t>Cross-sell campaign - Retail</t>
        </is>
      </c>
    </row>
    <row r="131" ht="15" customHeight="1" s="66">
      <c r="A131" s="102" t="inlineStr">
        <is>
          <t>CAMP-2025130</t>
        </is>
      </c>
      <c r="B131" s="102" t="inlineStr">
        <is>
          <t>Email Marketing - Winback - Q4 Epsilon</t>
        </is>
      </c>
      <c r="C131" s="102" t="inlineStr">
        <is>
          <t>Email Marketing</t>
        </is>
      </c>
      <c r="D131" s="102" t="inlineStr">
        <is>
          <t>Winback</t>
        </is>
      </c>
      <c r="E131" s="102" t="inlineStr">
        <is>
          <t>Q4</t>
        </is>
      </c>
      <c r="F131" s="103" t="n">
        <v>26000</v>
      </c>
      <c r="G131" s="103" t="n">
        <v>78462</v>
      </c>
      <c r="H131" s="105" t="n">
        <v>994</v>
      </c>
      <c r="I131" s="105" t="n">
        <v>234</v>
      </c>
      <c r="J131" s="105" t="n">
        <v>0</v>
      </c>
      <c r="K131" s="105" t="n">
        <v>0</v>
      </c>
      <c r="L131" s="107">
        <f>IFERROR(J131/K131,0)</f>
        <v/>
      </c>
      <c r="M131" s="108">
        <f>IFERROR(F131/J131,0)</f>
        <v/>
      </c>
      <c r="N131" s="103">
        <f>IFERROR(F131/I131,0)</f>
        <v/>
      </c>
      <c r="O131" s="106">
        <f>IFERROR((G131-F131)/F131,0)</f>
        <v/>
      </c>
      <c r="P131" s="106">
        <f>IFERROR(I131/H131,0)</f>
        <v/>
      </c>
      <c r="Q131" s="102" t="inlineStr">
        <is>
          <t>2025-07-21</t>
        </is>
      </c>
      <c r="R131" s="102" t="inlineStr">
        <is>
          <t>2025-10-04</t>
        </is>
      </c>
      <c r="S131" s="102" t="inlineStr">
        <is>
          <t>SaaS Companies</t>
        </is>
      </c>
      <c r="T131" s="102" t="inlineStr">
        <is>
          <t>Paused</t>
        </is>
      </c>
      <c r="U131" s="102" t="inlineStr">
        <is>
          <t>Winback campaign - SaaS Companies</t>
        </is>
      </c>
    </row>
    <row r="132" ht="15" customHeight="1" s="66">
      <c r="A132" s="94" t="inlineStr">
        <is>
          <t>CAMP-2025131</t>
        </is>
      </c>
      <c r="B132" s="94" t="inlineStr">
        <is>
          <t>SEO/Organic - Brand Awareness - Q4 Alpha</t>
        </is>
      </c>
      <c r="C132" s="94" t="inlineStr">
        <is>
          <t>SEO/Organic</t>
        </is>
      </c>
      <c r="D132" s="94" t="inlineStr">
        <is>
          <t>Brand Awareness</t>
        </is>
      </c>
      <c r="E132" s="94" t="inlineStr">
        <is>
          <t>Q4</t>
        </is>
      </c>
      <c r="F132" s="95" t="n">
        <v>17000</v>
      </c>
      <c r="G132" s="95" t="n">
        <v>58300</v>
      </c>
      <c r="H132" s="97" t="n">
        <v>1067</v>
      </c>
      <c r="I132" s="97" t="n">
        <v>124</v>
      </c>
      <c r="J132" s="97" t="n">
        <v>0</v>
      </c>
      <c r="K132" s="97" t="n">
        <v>0</v>
      </c>
      <c r="L132" s="99">
        <f>IFERROR(J132/K132,0)</f>
        <v/>
      </c>
      <c r="M132" s="100">
        <f>IFERROR(F132/J132,0)</f>
        <v/>
      </c>
      <c r="N132" s="95">
        <f>IFERROR(F132/I132,0)</f>
        <v/>
      </c>
      <c r="O132" s="98">
        <f>IFERROR((G132-F132)/F132,0)</f>
        <v/>
      </c>
      <c r="P132" s="98">
        <f>IFERROR(I132/H132,0)</f>
        <v/>
      </c>
      <c r="Q132" s="94" t="inlineStr">
        <is>
          <t>2025-07-27</t>
        </is>
      </c>
      <c r="R132" s="94" t="inlineStr">
        <is>
          <t>2025-10-17</t>
        </is>
      </c>
      <c r="S132" s="94" t="inlineStr">
        <is>
          <t>B2B Executives</t>
        </is>
      </c>
      <c r="T132" s="94" t="inlineStr">
        <is>
          <t>Completed</t>
        </is>
      </c>
      <c r="U132" s="94" t="inlineStr">
        <is>
          <t>Brand Awareness campaign - B2B Executives</t>
        </is>
      </c>
    </row>
    <row r="133" ht="15" customHeight="1" s="66">
      <c r="A133" s="102" t="inlineStr">
        <is>
          <t>CAMP-2025132</t>
        </is>
      </c>
      <c r="B133" s="102" t="inlineStr">
        <is>
          <t>Content Marketing - Lead Gen - Q4 Beta</t>
        </is>
      </c>
      <c r="C133" s="102" t="inlineStr">
        <is>
          <t>Content Marketing</t>
        </is>
      </c>
      <c r="D133" s="102" t="inlineStr">
        <is>
          <t>Lead Gen</t>
        </is>
      </c>
      <c r="E133" s="102" t="inlineStr">
        <is>
          <t>Q4</t>
        </is>
      </c>
      <c r="F133" s="103" t="n">
        <v>57000</v>
      </c>
      <c r="G133" s="103" t="n">
        <v>231489</v>
      </c>
      <c r="H133" s="105" t="n">
        <v>1413</v>
      </c>
      <c r="I133" s="105" t="n">
        <v>194</v>
      </c>
      <c r="J133" s="105" t="n">
        <v>0</v>
      </c>
      <c r="K133" s="105" t="n">
        <v>0</v>
      </c>
      <c r="L133" s="107">
        <f>IFERROR(J133/K133,0)</f>
        <v/>
      </c>
      <c r="M133" s="108">
        <f>IFERROR(F133/J133,0)</f>
        <v/>
      </c>
      <c r="N133" s="103">
        <f>IFERROR(F133/I133,0)</f>
        <v/>
      </c>
      <c r="O133" s="106">
        <f>IFERROR((G133-F133)/F133,0)</f>
        <v/>
      </c>
      <c r="P133" s="106">
        <f>IFERROR(I133/H133,0)</f>
        <v/>
      </c>
      <c r="Q133" s="102" t="inlineStr">
        <is>
          <t>2025-10-23</t>
        </is>
      </c>
      <c r="R133" s="102" t="inlineStr">
        <is>
          <t>2025-11-26</t>
        </is>
      </c>
      <c r="S133" s="102" t="inlineStr">
        <is>
          <t>SMB Owners</t>
        </is>
      </c>
      <c r="T133" s="102" t="inlineStr">
        <is>
          <t>Completed</t>
        </is>
      </c>
      <c r="U133" s="102" t="inlineStr">
        <is>
          <t>Lead Gen campaign - SMB Owners</t>
        </is>
      </c>
    </row>
    <row r="134" ht="15" customHeight="1" s="66">
      <c r="A134" s="94" t="inlineStr">
        <is>
          <t>CAMP-2025133</t>
        </is>
      </c>
      <c r="B134" s="94" t="inlineStr">
        <is>
          <t>Affiliate - Retargeting - Q1 Gamma</t>
        </is>
      </c>
      <c r="C134" s="94" t="inlineStr">
        <is>
          <t>Affiliate</t>
        </is>
      </c>
      <c r="D134" s="94" t="inlineStr">
        <is>
          <t>Retargeting</t>
        </is>
      </c>
      <c r="E134" s="94" t="inlineStr">
        <is>
          <t>Q1</t>
        </is>
      </c>
      <c r="F134" s="95" t="n">
        <v>25000</v>
      </c>
      <c r="G134" s="95" t="n">
        <v>88839</v>
      </c>
      <c r="H134" s="97" t="n">
        <v>519</v>
      </c>
      <c r="I134" s="97" t="n">
        <v>47</v>
      </c>
      <c r="J134" s="97" t="n">
        <v>15275</v>
      </c>
      <c r="K134" s="97" t="n">
        <v>568313</v>
      </c>
      <c r="L134" s="99">
        <f>IFERROR(J134/K134,0)</f>
        <v/>
      </c>
      <c r="M134" s="100">
        <f>IFERROR(F134/J134,0)</f>
        <v/>
      </c>
      <c r="N134" s="95">
        <f>IFERROR(F134/I134,0)</f>
        <v/>
      </c>
      <c r="O134" s="98">
        <f>IFERROR((G134-F134)/F134,0)</f>
        <v/>
      </c>
      <c r="P134" s="98">
        <f>IFERROR(I134/H134,0)</f>
        <v/>
      </c>
      <c r="Q134" s="94" t="inlineStr">
        <is>
          <t>2025-07-12</t>
        </is>
      </c>
      <c r="R134" s="94" t="inlineStr">
        <is>
          <t>2025-08-15</t>
        </is>
      </c>
      <c r="S134" s="94" t="inlineStr">
        <is>
          <t>Enterprise IT</t>
        </is>
      </c>
      <c r="T134" s="94" t="inlineStr">
        <is>
          <t>Completed</t>
        </is>
      </c>
      <c r="U134" s="94" t="inlineStr">
        <is>
          <t>Retargeting campaign - Enterprise IT</t>
        </is>
      </c>
    </row>
    <row r="135" ht="15" customHeight="1" s="66">
      <c r="A135" s="102" t="inlineStr">
        <is>
          <t>CAMP-2025134</t>
        </is>
      </c>
      <c r="B135" s="102" t="inlineStr">
        <is>
          <t>Influencer - Product Launch - Q1 Delta</t>
        </is>
      </c>
      <c r="C135" s="102" t="inlineStr">
        <is>
          <t>Influencer</t>
        </is>
      </c>
      <c r="D135" s="102" t="inlineStr">
        <is>
          <t>Product Launch</t>
        </is>
      </c>
      <c r="E135" s="102" t="inlineStr">
        <is>
          <t>Q1</t>
        </is>
      </c>
      <c r="F135" s="103" t="n">
        <v>41000</v>
      </c>
      <c r="G135" s="103" t="n">
        <v>177348</v>
      </c>
      <c r="H135" s="105" t="n">
        <v>1467</v>
      </c>
      <c r="I135" s="105" t="n">
        <v>309</v>
      </c>
      <c r="J135" s="105" t="n">
        <v>13579</v>
      </c>
      <c r="K135" s="105" t="n">
        <v>178135</v>
      </c>
      <c r="L135" s="107">
        <f>IFERROR(J135/K135,0)</f>
        <v/>
      </c>
      <c r="M135" s="108">
        <f>IFERROR(F135/J135,0)</f>
        <v/>
      </c>
      <c r="N135" s="103">
        <f>IFERROR(F135/I135,0)</f>
        <v/>
      </c>
      <c r="O135" s="106">
        <f>IFERROR((G135-F135)/F135,0)</f>
        <v/>
      </c>
      <c r="P135" s="106">
        <f>IFERROR(I135/H135,0)</f>
        <v/>
      </c>
      <c r="Q135" s="102" t="inlineStr">
        <is>
          <t>2025-03-30</t>
        </is>
      </c>
      <c r="R135" s="102" t="inlineStr">
        <is>
          <t>2025-04-21</t>
        </is>
      </c>
      <c r="S135" s="102" t="inlineStr">
        <is>
          <t>Marketing Leaders</t>
        </is>
      </c>
      <c r="T135" s="102" t="inlineStr">
        <is>
          <t>Active</t>
        </is>
      </c>
      <c r="U135" s="102" t="inlineStr">
        <is>
          <t>Product Launch campaign - Marketing Leaders</t>
        </is>
      </c>
    </row>
    <row r="136" ht="15" customHeight="1" s="66">
      <c r="A136" s="94" t="inlineStr">
        <is>
          <t>CAMP-2025135</t>
        </is>
      </c>
      <c r="B136" s="94" t="inlineStr">
        <is>
          <t>YouTube Ads - Nurture - Q1 Epsilon</t>
        </is>
      </c>
      <c r="C136" s="94" t="inlineStr">
        <is>
          <t>YouTube Ads</t>
        </is>
      </c>
      <c r="D136" s="94" t="inlineStr">
        <is>
          <t>Nurture</t>
        </is>
      </c>
      <c r="E136" s="94" t="inlineStr">
        <is>
          <t>Q1</t>
        </is>
      </c>
      <c r="F136" s="95" t="n">
        <v>44000</v>
      </c>
      <c r="G136" s="95" t="n">
        <v>174998</v>
      </c>
      <c r="H136" s="97" t="n">
        <v>1793</v>
      </c>
      <c r="I136" s="97" t="n">
        <v>251</v>
      </c>
      <c r="J136" s="97" t="n">
        <v>15915</v>
      </c>
      <c r="K136" s="97" t="n">
        <v>233202</v>
      </c>
      <c r="L136" s="99">
        <f>IFERROR(J136/K136,0)</f>
        <v/>
      </c>
      <c r="M136" s="100">
        <f>IFERROR(F136/J136,0)</f>
        <v/>
      </c>
      <c r="N136" s="95">
        <f>IFERROR(F136/I136,0)</f>
        <v/>
      </c>
      <c r="O136" s="98">
        <f>IFERROR((G136-F136)/F136,0)</f>
        <v/>
      </c>
      <c r="P136" s="98">
        <f>IFERROR(I136/H136,0)</f>
        <v/>
      </c>
      <c r="Q136" s="94" t="inlineStr">
        <is>
          <t>2025-09-22</t>
        </is>
      </c>
      <c r="R136" s="94" t="inlineStr">
        <is>
          <t>2025-10-11</t>
        </is>
      </c>
      <c r="S136" s="94" t="inlineStr">
        <is>
          <t>Finance Teams</t>
        </is>
      </c>
      <c r="T136" s="94" t="inlineStr">
        <is>
          <t>Completed</t>
        </is>
      </c>
      <c r="U136" s="94" t="inlineStr">
        <is>
          <t>Nurture campaign - Finance Teams</t>
        </is>
      </c>
    </row>
    <row r="137" ht="15" customHeight="1" s="66">
      <c r="A137" s="102" t="inlineStr">
        <is>
          <t>CAMP-2025136</t>
        </is>
      </c>
      <c r="B137" s="102" t="inlineStr">
        <is>
          <t>Twitter/X Ads - Event Promo - Q2 Alpha</t>
        </is>
      </c>
      <c r="C137" s="102" t="inlineStr">
        <is>
          <t>Twitter/X Ads</t>
        </is>
      </c>
      <c r="D137" s="102" t="inlineStr">
        <is>
          <t>Event Promo</t>
        </is>
      </c>
      <c r="E137" s="102" t="inlineStr">
        <is>
          <t>Q2</t>
        </is>
      </c>
      <c r="F137" s="103" t="n">
        <v>55000</v>
      </c>
      <c r="G137" s="103" t="n">
        <v>83397</v>
      </c>
      <c r="H137" s="105" t="n">
        <v>1395</v>
      </c>
      <c r="I137" s="105" t="n">
        <v>306</v>
      </c>
      <c r="J137" s="105" t="n">
        <v>15125</v>
      </c>
      <c r="K137" s="105" t="n">
        <v>486868</v>
      </c>
      <c r="L137" s="107">
        <f>IFERROR(J137/K137,0)</f>
        <v/>
      </c>
      <c r="M137" s="108">
        <f>IFERROR(F137/J137,0)</f>
        <v/>
      </c>
      <c r="N137" s="103">
        <f>IFERROR(F137/I137,0)</f>
        <v/>
      </c>
      <c r="O137" s="106">
        <f>IFERROR((G137-F137)/F137,0)</f>
        <v/>
      </c>
      <c r="P137" s="106">
        <f>IFERROR(I137/H137,0)</f>
        <v/>
      </c>
      <c r="Q137" s="102" t="inlineStr">
        <is>
          <t>2025-03-07</t>
        </is>
      </c>
      <c r="R137" s="102" t="inlineStr">
        <is>
          <t>2025-04-14</t>
        </is>
      </c>
      <c r="S137" s="102" t="inlineStr">
        <is>
          <t>E-commerce</t>
        </is>
      </c>
      <c r="T137" s="102" t="inlineStr">
        <is>
          <t>Completed</t>
        </is>
      </c>
      <c r="U137" s="102" t="inlineStr">
        <is>
          <t>Event Promo campaign - E-commerce</t>
        </is>
      </c>
    </row>
    <row r="138" ht="15" customHeight="1" s="66">
      <c r="A138" s="94" t="inlineStr">
        <is>
          <t>CAMP-2025137</t>
        </is>
      </c>
      <c r="B138" s="94" t="inlineStr">
        <is>
          <t>TikTok Ads - Seasonal - Q2 Beta</t>
        </is>
      </c>
      <c r="C138" s="94" t="inlineStr">
        <is>
          <t>TikTok Ads</t>
        </is>
      </c>
      <c r="D138" s="94" t="inlineStr">
        <is>
          <t>Seasonal</t>
        </is>
      </c>
      <c r="E138" s="94" t="inlineStr">
        <is>
          <t>Q2</t>
        </is>
      </c>
      <c r="F138" s="95" t="n">
        <v>18000</v>
      </c>
      <c r="G138" s="95" t="n">
        <v>27046</v>
      </c>
      <c r="H138" s="97" t="n">
        <v>302</v>
      </c>
      <c r="I138" s="97" t="n">
        <v>44</v>
      </c>
      <c r="J138" s="97" t="n">
        <v>13266</v>
      </c>
      <c r="K138" s="97" t="n">
        <v>316302</v>
      </c>
      <c r="L138" s="99">
        <f>IFERROR(J138/K138,0)</f>
        <v/>
      </c>
      <c r="M138" s="100">
        <f>IFERROR(F138/J138,0)</f>
        <v/>
      </c>
      <c r="N138" s="95">
        <f>IFERROR(F138/I138,0)</f>
        <v/>
      </c>
      <c r="O138" s="98">
        <f>IFERROR((G138-F138)/F138,0)</f>
        <v/>
      </c>
      <c r="P138" s="98">
        <f>IFERROR(I138/H138,0)</f>
        <v/>
      </c>
      <c r="Q138" s="94" t="inlineStr">
        <is>
          <t>2025-04-27</t>
        </is>
      </c>
      <c r="R138" s="94" t="inlineStr">
        <is>
          <t>2025-06-12</t>
        </is>
      </c>
      <c r="S138" s="94" t="inlineStr">
        <is>
          <t>Tech Startups</t>
        </is>
      </c>
      <c r="T138" s="94" t="inlineStr">
        <is>
          <t>Completed</t>
        </is>
      </c>
      <c r="U138" s="94" t="inlineStr">
        <is>
          <t>Seasonal campaign - Tech Startups</t>
        </is>
      </c>
    </row>
    <row r="139" ht="15" customHeight="1" s="66">
      <c r="A139" s="102" t="inlineStr">
        <is>
          <t>CAMP-2025138</t>
        </is>
      </c>
      <c r="B139" s="102" t="inlineStr">
        <is>
          <t>Display/Banner - Upsell - Q2 Gamma</t>
        </is>
      </c>
      <c r="C139" s="102" t="inlineStr">
        <is>
          <t>Display/Banner</t>
        </is>
      </c>
      <c r="D139" s="102" t="inlineStr">
        <is>
          <t>Upsell</t>
        </is>
      </c>
      <c r="E139" s="102" t="inlineStr">
        <is>
          <t>Q2</t>
        </is>
      </c>
      <c r="F139" s="103" t="n">
        <v>65000</v>
      </c>
      <c r="G139" s="103" t="n">
        <v>202952</v>
      </c>
      <c r="H139" s="105" t="n">
        <v>1089</v>
      </c>
      <c r="I139" s="105" t="n">
        <v>189</v>
      </c>
      <c r="J139" s="105" t="n">
        <v>33516</v>
      </c>
      <c r="K139" s="105" t="n">
        <v>2944110</v>
      </c>
      <c r="L139" s="107">
        <f>IFERROR(J139/K139,0)</f>
        <v/>
      </c>
      <c r="M139" s="108">
        <f>IFERROR(F139/J139,0)</f>
        <v/>
      </c>
      <c r="N139" s="103">
        <f>IFERROR(F139/I139,0)</f>
        <v/>
      </c>
      <c r="O139" s="106">
        <f>IFERROR((G139-F139)/F139,0)</f>
        <v/>
      </c>
      <c r="P139" s="106">
        <f>IFERROR(I139/H139,0)</f>
        <v/>
      </c>
      <c r="Q139" s="102" t="inlineStr">
        <is>
          <t>2025-01-02</t>
        </is>
      </c>
      <c r="R139" s="102" t="inlineStr">
        <is>
          <t>2025-03-10</t>
        </is>
      </c>
      <c r="S139" s="102" t="inlineStr">
        <is>
          <t>Healthcare</t>
        </is>
      </c>
      <c r="T139" s="102" t="inlineStr">
        <is>
          <t>Planning</t>
        </is>
      </c>
      <c r="U139" s="102" t="inlineStr">
        <is>
          <t>Upsell campaign - Healthcare</t>
        </is>
      </c>
    </row>
    <row r="140" ht="15" customHeight="1" s="66">
      <c r="A140" s="94" t="inlineStr">
        <is>
          <t>CAMP-2025139</t>
        </is>
      </c>
      <c r="B140" s="94" t="inlineStr">
        <is>
          <t>Podcast Ads - Cross-sell - Q3 Delta</t>
        </is>
      </c>
      <c r="C140" s="94" t="inlineStr">
        <is>
          <t>Podcast Ads</t>
        </is>
      </c>
      <c r="D140" s="94" t="inlineStr">
        <is>
          <t>Cross-sell</t>
        </is>
      </c>
      <c r="E140" s="94" t="inlineStr">
        <is>
          <t>Q3</t>
        </is>
      </c>
      <c r="F140" s="95" t="n">
        <v>58000</v>
      </c>
      <c r="G140" s="95" t="n">
        <v>88330</v>
      </c>
      <c r="H140" s="97" t="n">
        <v>3674</v>
      </c>
      <c r="I140" s="97" t="n">
        <v>644</v>
      </c>
      <c r="J140" s="97" t="n">
        <v>30482</v>
      </c>
      <c r="K140" s="97" t="n">
        <v>2235129</v>
      </c>
      <c r="L140" s="99">
        <f>IFERROR(J140/K140,0)</f>
        <v/>
      </c>
      <c r="M140" s="100">
        <f>IFERROR(F140/J140,0)</f>
        <v/>
      </c>
      <c r="N140" s="95">
        <f>IFERROR(F140/I140,0)</f>
        <v/>
      </c>
      <c r="O140" s="98">
        <f>IFERROR((G140-F140)/F140,0)</f>
        <v/>
      </c>
      <c r="P140" s="98">
        <f>IFERROR(I140/H140,0)</f>
        <v/>
      </c>
      <c r="Q140" s="94" t="inlineStr">
        <is>
          <t>2025-08-12</t>
        </is>
      </c>
      <c r="R140" s="94" t="inlineStr">
        <is>
          <t>2025-09-26</t>
        </is>
      </c>
      <c r="S140" s="94" t="inlineStr">
        <is>
          <t>Retail</t>
        </is>
      </c>
      <c r="T140" s="94" t="inlineStr">
        <is>
          <t>Active</t>
        </is>
      </c>
      <c r="U140" s="94" t="inlineStr">
        <is>
          <t>Cross-sell campaign - Retail</t>
        </is>
      </c>
    </row>
    <row r="141" ht="15" customHeight="1" s="66">
      <c r="A141" s="102" t="inlineStr">
        <is>
          <t>CAMP-2025140</t>
        </is>
      </c>
      <c r="B141" s="102" t="inlineStr">
        <is>
          <t>Webinars - Winback - Q3 Epsilon</t>
        </is>
      </c>
      <c r="C141" s="102" t="inlineStr">
        <is>
          <t>Webinars</t>
        </is>
      </c>
      <c r="D141" s="102" t="inlineStr">
        <is>
          <t>Winback</t>
        </is>
      </c>
      <c r="E141" s="102" t="inlineStr">
        <is>
          <t>Q3</t>
        </is>
      </c>
      <c r="F141" s="103" t="n">
        <v>27000</v>
      </c>
      <c r="G141" s="103" t="n">
        <v>94903</v>
      </c>
      <c r="H141" s="105" t="n">
        <v>1102</v>
      </c>
      <c r="I141" s="105" t="n">
        <v>241</v>
      </c>
      <c r="J141" s="105" t="n">
        <v>7756</v>
      </c>
      <c r="K141" s="105" t="n">
        <v>365149</v>
      </c>
      <c r="L141" s="107">
        <f>IFERROR(J141/K141,0)</f>
        <v/>
      </c>
      <c r="M141" s="108">
        <f>IFERROR(F141/J141,0)</f>
        <v/>
      </c>
      <c r="N141" s="103">
        <f>IFERROR(F141/I141,0)</f>
        <v/>
      </c>
      <c r="O141" s="106">
        <f>IFERROR((G141-F141)/F141,0)</f>
        <v/>
      </c>
      <c r="P141" s="106">
        <f>IFERROR(I141/H141,0)</f>
        <v/>
      </c>
      <c r="Q141" s="102" t="inlineStr">
        <is>
          <t>2025-07-23</t>
        </is>
      </c>
      <c r="R141" s="102" t="inlineStr">
        <is>
          <t>2025-09-26</t>
        </is>
      </c>
      <c r="S141" s="102" t="inlineStr">
        <is>
          <t>SaaS Companies</t>
        </is>
      </c>
      <c r="T141" s="102" t="inlineStr">
        <is>
          <t>Active</t>
        </is>
      </c>
      <c r="U141" s="102" t="inlineStr">
        <is>
          <t>Winback campaign - SaaS Companies</t>
        </is>
      </c>
    </row>
    <row r="142" ht="15" customHeight="1" s="66">
      <c r="A142" s="94" t="inlineStr">
        <is>
          <t>CAMP-2025141</t>
        </is>
      </c>
      <c r="B142" s="94" t="inlineStr">
        <is>
          <t>Google Ads - Brand Awareness - Q3 Alpha</t>
        </is>
      </c>
      <c r="C142" s="94" t="inlineStr">
        <is>
          <t>Google Ads</t>
        </is>
      </c>
      <c r="D142" s="94" t="inlineStr">
        <is>
          <t>Brand Awareness</t>
        </is>
      </c>
      <c r="E142" s="94" t="inlineStr">
        <is>
          <t>Q3</t>
        </is>
      </c>
      <c r="F142" s="95" t="n">
        <v>74000</v>
      </c>
      <c r="G142" s="95" t="n">
        <v>152983</v>
      </c>
      <c r="H142" s="97" t="n">
        <v>4864</v>
      </c>
      <c r="I142" s="97" t="n">
        <v>648</v>
      </c>
      <c r="J142" s="97" t="n">
        <v>26056</v>
      </c>
      <c r="K142" s="97" t="n">
        <v>702775</v>
      </c>
      <c r="L142" s="99">
        <f>IFERROR(J142/K142,0)</f>
        <v/>
      </c>
      <c r="M142" s="100">
        <f>IFERROR(F142/J142,0)</f>
        <v/>
      </c>
      <c r="N142" s="95">
        <f>IFERROR(F142/I142,0)</f>
        <v/>
      </c>
      <c r="O142" s="98">
        <f>IFERROR((G142-F142)/F142,0)</f>
        <v/>
      </c>
      <c r="P142" s="98">
        <f>IFERROR(I142/H142,0)</f>
        <v/>
      </c>
      <c r="Q142" s="94" t="inlineStr">
        <is>
          <t>2025-07-09</t>
        </is>
      </c>
      <c r="R142" s="94" t="inlineStr">
        <is>
          <t>2025-08-06</t>
        </is>
      </c>
      <c r="S142" s="94" t="inlineStr">
        <is>
          <t>B2B Executives</t>
        </is>
      </c>
      <c r="T142" s="94" t="inlineStr">
        <is>
          <t>Completed</t>
        </is>
      </c>
      <c r="U142" s="94" t="inlineStr">
        <is>
          <t>Brand Awareness campaign - B2B Executives</t>
        </is>
      </c>
    </row>
    <row r="143" ht="15" customHeight="1" s="66">
      <c r="A143" s="102" t="inlineStr">
        <is>
          <t>CAMP-2025142</t>
        </is>
      </c>
      <c r="B143" s="102" t="inlineStr">
        <is>
          <t>Facebook Ads - Lead Gen - Q4 Beta</t>
        </is>
      </c>
      <c r="C143" s="102" t="inlineStr">
        <is>
          <t>Facebook Ads</t>
        </is>
      </c>
      <c r="D143" s="102" t="inlineStr">
        <is>
          <t>Lead Gen</t>
        </is>
      </c>
      <c r="E143" s="102" t="inlineStr">
        <is>
          <t>Q4</t>
        </is>
      </c>
      <c r="F143" s="103" t="n">
        <v>12000</v>
      </c>
      <c r="G143" s="103" t="n">
        <v>35491</v>
      </c>
      <c r="H143" s="105" t="n">
        <v>341</v>
      </c>
      <c r="I143" s="105" t="n">
        <v>45</v>
      </c>
      <c r="J143" s="105" t="n">
        <v>6408</v>
      </c>
      <c r="K143" s="105" t="n">
        <v>146275</v>
      </c>
      <c r="L143" s="107">
        <f>IFERROR(J143/K143,0)</f>
        <v/>
      </c>
      <c r="M143" s="108">
        <f>IFERROR(F143/J143,0)</f>
        <v/>
      </c>
      <c r="N143" s="103">
        <f>IFERROR(F143/I143,0)</f>
        <v/>
      </c>
      <c r="O143" s="106">
        <f>IFERROR((G143-F143)/F143,0)</f>
        <v/>
      </c>
      <c r="P143" s="106">
        <f>IFERROR(I143/H143,0)</f>
        <v/>
      </c>
      <c r="Q143" s="102" t="inlineStr">
        <is>
          <t>2025-03-28</t>
        </is>
      </c>
      <c r="R143" s="102" t="inlineStr">
        <is>
          <t>2025-05-24</t>
        </is>
      </c>
      <c r="S143" s="102" t="inlineStr">
        <is>
          <t>SMB Owners</t>
        </is>
      </c>
      <c r="T143" s="102" t="inlineStr">
        <is>
          <t>Completed</t>
        </is>
      </c>
      <c r="U143" s="102" t="inlineStr">
        <is>
          <t>Lead Gen campaign - SMB Owners</t>
        </is>
      </c>
    </row>
    <row r="144" ht="15" customHeight="1" s="66">
      <c r="A144" s="94" t="inlineStr">
        <is>
          <t>CAMP-2025143</t>
        </is>
      </c>
      <c r="B144" s="94" t="inlineStr">
        <is>
          <t>LinkedIn Ads - Retargeting - Q4 Gamma</t>
        </is>
      </c>
      <c r="C144" s="94" t="inlineStr">
        <is>
          <t>LinkedIn Ads</t>
        </is>
      </c>
      <c r="D144" s="94" t="inlineStr">
        <is>
          <t>Retargeting</t>
        </is>
      </c>
      <c r="E144" s="94" t="inlineStr">
        <is>
          <t>Q4</t>
        </is>
      </c>
      <c r="F144" s="95" t="n">
        <v>3000</v>
      </c>
      <c r="G144" s="95" t="n">
        <v>8482</v>
      </c>
      <c r="H144" s="97" t="n">
        <v>100</v>
      </c>
      <c r="I144" s="97" t="n">
        <v>13</v>
      </c>
      <c r="J144" s="97" t="n">
        <v>1194</v>
      </c>
      <c r="K144" s="97" t="n">
        <v>35249</v>
      </c>
      <c r="L144" s="99">
        <f>IFERROR(J144/K144,0)</f>
        <v/>
      </c>
      <c r="M144" s="100">
        <f>IFERROR(F144/J144,0)</f>
        <v/>
      </c>
      <c r="N144" s="95">
        <f>IFERROR(F144/I144,0)</f>
        <v/>
      </c>
      <c r="O144" s="98">
        <f>IFERROR((G144-F144)/F144,0)</f>
        <v/>
      </c>
      <c r="P144" s="98">
        <f>IFERROR(I144/H144,0)</f>
        <v/>
      </c>
      <c r="Q144" s="94" t="inlineStr">
        <is>
          <t>2025-07-26</t>
        </is>
      </c>
      <c r="R144" s="94" t="inlineStr">
        <is>
          <t>2025-08-10</t>
        </is>
      </c>
      <c r="S144" s="94" t="inlineStr">
        <is>
          <t>Enterprise IT</t>
        </is>
      </c>
      <c r="T144" s="94" t="inlineStr">
        <is>
          <t>Active</t>
        </is>
      </c>
      <c r="U144" s="94" t="inlineStr">
        <is>
          <t>Retargeting campaign - Enterprise IT</t>
        </is>
      </c>
    </row>
    <row r="145" ht="15" customHeight="1" s="66">
      <c r="A145" s="102" t="inlineStr">
        <is>
          <t>CAMP-2025144</t>
        </is>
      </c>
      <c r="B145" s="102" t="inlineStr">
        <is>
          <t>Email Marketing - Product Launch - Q4 Delta</t>
        </is>
      </c>
      <c r="C145" s="102" t="inlineStr">
        <is>
          <t>Email Marketing</t>
        </is>
      </c>
      <c r="D145" s="102" t="inlineStr">
        <is>
          <t>Product Launch</t>
        </is>
      </c>
      <c r="E145" s="102" t="inlineStr">
        <is>
          <t>Q4</t>
        </is>
      </c>
      <c r="F145" s="103" t="n">
        <v>75000</v>
      </c>
      <c r="G145" s="103" t="n">
        <v>176444</v>
      </c>
      <c r="H145" s="105" t="n">
        <v>1422</v>
      </c>
      <c r="I145" s="105" t="n">
        <v>208</v>
      </c>
      <c r="J145" s="105" t="n">
        <v>0</v>
      </c>
      <c r="K145" s="105" t="n">
        <v>0</v>
      </c>
      <c r="L145" s="107">
        <f>IFERROR(J145/K145,0)</f>
        <v/>
      </c>
      <c r="M145" s="108">
        <f>IFERROR(F145/J145,0)</f>
        <v/>
      </c>
      <c r="N145" s="103">
        <f>IFERROR(F145/I145,0)</f>
        <v/>
      </c>
      <c r="O145" s="106">
        <f>IFERROR((G145-F145)/F145,0)</f>
        <v/>
      </c>
      <c r="P145" s="106">
        <f>IFERROR(I145/H145,0)</f>
        <v/>
      </c>
      <c r="Q145" s="102" t="inlineStr">
        <is>
          <t>2025-08-10</t>
        </is>
      </c>
      <c r="R145" s="102" t="inlineStr">
        <is>
          <t>2025-11-01</t>
        </is>
      </c>
      <c r="S145" s="102" t="inlineStr">
        <is>
          <t>Marketing Leaders</t>
        </is>
      </c>
      <c r="T145" s="102" t="inlineStr">
        <is>
          <t>Completed</t>
        </is>
      </c>
      <c r="U145" s="102" t="inlineStr">
        <is>
          <t>Product Launch campaign - Marketing Leaders</t>
        </is>
      </c>
    </row>
    <row r="146" ht="15" customHeight="1" s="66">
      <c r="A146" s="94" t="inlineStr">
        <is>
          <t>CAMP-2025145</t>
        </is>
      </c>
      <c r="B146" s="94" t="inlineStr">
        <is>
          <t>SEO/Organic - Nurture - Q1 Epsilon</t>
        </is>
      </c>
      <c r="C146" s="94" t="inlineStr">
        <is>
          <t>SEO/Organic</t>
        </is>
      </c>
      <c r="D146" s="94" t="inlineStr">
        <is>
          <t>Nurture</t>
        </is>
      </c>
      <c r="E146" s="94" t="inlineStr">
        <is>
          <t>Q1</t>
        </is>
      </c>
      <c r="F146" s="95" t="n">
        <v>77000</v>
      </c>
      <c r="G146" s="95" t="n">
        <v>180349</v>
      </c>
      <c r="H146" s="97" t="n">
        <v>2481</v>
      </c>
      <c r="I146" s="97" t="n">
        <v>309</v>
      </c>
      <c r="J146" s="97" t="n">
        <v>0</v>
      </c>
      <c r="K146" s="97" t="n">
        <v>0</v>
      </c>
      <c r="L146" s="99">
        <f>IFERROR(J146/K146,0)</f>
        <v/>
      </c>
      <c r="M146" s="100">
        <f>IFERROR(F146/J146,0)</f>
        <v/>
      </c>
      <c r="N146" s="95">
        <f>IFERROR(F146/I146,0)</f>
        <v/>
      </c>
      <c r="O146" s="98">
        <f>IFERROR((G146-F146)/F146,0)</f>
        <v/>
      </c>
      <c r="P146" s="98">
        <f>IFERROR(I146/H146,0)</f>
        <v/>
      </c>
      <c r="Q146" s="94" t="inlineStr">
        <is>
          <t>2025-07-15</t>
        </is>
      </c>
      <c r="R146" s="94" t="inlineStr">
        <is>
          <t>2025-10-06</t>
        </is>
      </c>
      <c r="S146" s="94" t="inlineStr">
        <is>
          <t>Finance Teams</t>
        </is>
      </c>
      <c r="T146" s="94" t="inlineStr">
        <is>
          <t>Active</t>
        </is>
      </c>
      <c r="U146" s="94" t="inlineStr">
        <is>
          <t>Nurture campaign - Finance Teams</t>
        </is>
      </c>
    </row>
    <row r="147" ht="15" customHeight="1" s="66">
      <c r="A147" s="102" t="inlineStr">
        <is>
          <t>CAMP-2025146</t>
        </is>
      </c>
      <c r="B147" s="102" t="inlineStr">
        <is>
          <t>Content Marketing - Event Promo - Q1 Alpha</t>
        </is>
      </c>
      <c r="C147" s="102" t="inlineStr">
        <is>
          <t>Content Marketing</t>
        </is>
      </c>
      <c r="D147" s="102" t="inlineStr">
        <is>
          <t>Event Promo</t>
        </is>
      </c>
      <c r="E147" s="102" t="inlineStr">
        <is>
          <t>Q1</t>
        </is>
      </c>
      <c r="F147" s="103" t="n">
        <v>9000</v>
      </c>
      <c r="G147" s="103" t="n">
        <v>40255</v>
      </c>
      <c r="H147" s="105" t="n">
        <v>334</v>
      </c>
      <c r="I147" s="105" t="n">
        <v>45</v>
      </c>
      <c r="J147" s="105" t="n">
        <v>0</v>
      </c>
      <c r="K147" s="105" t="n">
        <v>0</v>
      </c>
      <c r="L147" s="107">
        <f>IFERROR(J147/K147,0)</f>
        <v/>
      </c>
      <c r="M147" s="108">
        <f>IFERROR(F147/J147,0)</f>
        <v/>
      </c>
      <c r="N147" s="103">
        <f>IFERROR(F147/I147,0)</f>
        <v/>
      </c>
      <c r="O147" s="106">
        <f>IFERROR((G147-F147)/F147,0)</f>
        <v/>
      </c>
      <c r="P147" s="106">
        <f>IFERROR(I147/H147,0)</f>
        <v/>
      </c>
      <c r="Q147" s="102" t="inlineStr">
        <is>
          <t>2025-10-28</t>
        </is>
      </c>
      <c r="R147" s="102" t="inlineStr">
        <is>
          <t>2025-11-29</t>
        </is>
      </c>
      <c r="S147" s="102" t="inlineStr">
        <is>
          <t>E-commerce</t>
        </is>
      </c>
      <c r="T147" s="102" t="inlineStr">
        <is>
          <t>Paused</t>
        </is>
      </c>
      <c r="U147" s="102" t="inlineStr">
        <is>
          <t>Event Promo campaign - E-commerce</t>
        </is>
      </c>
    </row>
    <row r="148" ht="15" customHeight="1" s="66">
      <c r="A148" s="94" t="inlineStr">
        <is>
          <t>CAMP-2025147</t>
        </is>
      </c>
      <c r="B148" s="94" t="inlineStr">
        <is>
          <t>Affiliate - Seasonal - Q1 Beta</t>
        </is>
      </c>
      <c r="C148" s="94" t="inlineStr">
        <is>
          <t>Affiliate</t>
        </is>
      </c>
      <c r="D148" s="94" t="inlineStr">
        <is>
          <t>Seasonal</t>
        </is>
      </c>
      <c r="E148" s="94" t="inlineStr">
        <is>
          <t>Q1</t>
        </is>
      </c>
      <c r="F148" s="95" t="n">
        <v>78000</v>
      </c>
      <c r="G148" s="95" t="n">
        <v>159707</v>
      </c>
      <c r="H148" s="97" t="n">
        <v>1401</v>
      </c>
      <c r="I148" s="97" t="n">
        <v>182</v>
      </c>
      <c r="J148" s="97" t="n">
        <v>18447</v>
      </c>
      <c r="K148" s="97" t="n">
        <v>291924</v>
      </c>
      <c r="L148" s="99">
        <f>IFERROR(J148/K148,0)</f>
        <v/>
      </c>
      <c r="M148" s="100">
        <f>IFERROR(F148/J148,0)</f>
        <v/>
      </c>
      <c r="N148" s="95">
        <f>IFERROR(F148/I148,0)</f>
        <v/>
      </c>
      <c r="O148" s="98">
        <f>IFERROR((G148-F148)/F148,0)</f>
        <v/>
      </c>
      <c r="P148" s="98">
        <f>IFERROR(I148/H148,0)</f>
        <v/>
      </c>
      <c r="Q148" s="94" t="inlineStr">
        <is>
          <t>2025-03-24</t>
        </is>
      </c>
      <c r="R148" s="94" t="inlineStr">
        <is>
          <t>2025-06-10</t>
        </is>
      </c>
      <c r="S148" s="94" t="inlineStr">
        <is>
          <t>Tech Startups</t>
        </is>
      </c>
      <c r="T148" s="94" t="inlineStr">
        <is>
          <t>Active</t>
        </is>
      </c>
      <c r="U148" s="94" t="inlineStr">
        <is>
          <t>Seasonal campaign - Tech Startups</t>
        </is>
      </c>
    </row>
    <row r="149" ht="15" customHeight="1" s="66">
      <c r="A149" s="102" t="inlineStr">
        <is>
          <t>CAMP-2025148</t>
        </is>
      </c>
      <c r="B149" s="102" t="inlineStr">
        <is>
          <t>Influencer - Upsell - Q2 Gamma</t>
        </is>
      </c>
      <c r="C149" s="102" t="inlineStr">
        <is>
          <t>Influencer</t>
        </is>
      </c>
      <c r="D149" s="102" t="inlineStr">
        <is>
          <t>Upsell</t>
        </is>
      </c>
      <c r="E149" s="102" t="inlineStr">
        <is>
          <t>Q2</t>
        </is>
      </c>
      <c r="F149" s="103" t="n">
        <v>41000</v>
      </c>
      <c r="G149" s="103" t="n">
        <v>156745</v>
      </c>
      <c r="H149" s="105" t="n">
        <v>761</v>
      </c>
      <c r="I149" s="105" t="n">
        <v>90</v>
      </c>
      <c r="J149" s="105" t="n">
        <v>20310</v>
      </c>
      <c r="K149" s="105" t="n">
        <v>1076067</v>
      </c>
      <c r="L149" s="107">
        <f>IFERROR(J149/K149,0)</f>
        <v/>
      </c>
      <c r="M149" s="108">
        <f>IFERROR(F149/J149,0)</f>
        <v/>
      </c>
      <c r="N149" s="103">
        <f>IFERROR(F149/I149,0)</f>
        <v/>
      </c>
      <c r="O149" s="106">
        <f>IFERROR((G149-F149)/F149,0)</f>
        <v/>
      </c>
      <c r="P149" s="106">
        <f>IFERROR(I149/H149,0)</f>
        <v/>
      </c>
      <c r="Q149" s="102" t="inlineStr">
        <is>
          <t>2025-06-11</t>
        </is>
      </c>
      <c r="R149" s="102" t="inlineStr">
        <is>
          <t>2025-08-16</t>
        </is>
      </c>
      <c r="S149" s="102" t="inlineStr">
        <is>
          <t>Healthcare</t>
        </is>
      </c>
      <c r="T149" s="102" t="inlineStr">
        <is>
          <t>Active</t>
        </is>
      </c>
      <c r="U149" s="102" t="inlineStr">
        <is>
          <t>Upsell campaign - Healthcare</t>
        </is>
      </c>
    </row>
    <row r="150" ht="15" customHeight="1" s="66">
      <c r="A150" s="94" t="inlineStr">
        <is>
          <t>CAMP-2025149</t>
        </is>
      </c>
      <c r="B150" s="94" t="inlineStr">
        <is>
          <t>YouTube Ads - Cross-sell - Q2 Delta</t>
        </is>
      </c>
      <c r="C150" s="94" t="inlineStr">
        <is>
          <t>YouTube Ads</t>
        </is>
      </c>
      <c r="D150" s="94" t="inlineStr">
        <is>
          <t>Cross-sell</t>
        </is>
      </c>
      <c r="E150" s="94" t="inlineStr">
        <is>
          <t>Q2</t>
        </is>
      </c>
      <c r="F150" s="95" t="n">
        <v>5000</v>
      </c>
      <c r="G150" s="95" t="n">
        <v>20384</v>
      </c>
      <c r="H150" s="97" t="n">
        <v>102</v>
      </c>
      <c r="I150" s="97" t="n">
        <v>8</v>
      </c>
      <c r="J150" s="97" t="n">
        <v>3226</v>
      </c>
      <c r="K150" s="97" t="n">
        <v>51274</v>
      </c>
      <c r="L150" s="99">
        <f>IFERROR(J150/K150,0)</f>
        <v/>
      </c>
      <c r="M150" s="100">
        <f>IFERROR(F150/J150,0)</f>
        <v/>
      </c>
      <c r="N150" s="95">
        <f>IFERROR(F150/I150,0)</f>
        <v/>
      </c>
      <c r="O150" s="98">
        <f>IFERROR((G150-F150)/F150,0)</f>
        <v/>
      </c>
      <c r="P150" s="98">
        <f>IFERROR(I150/H150,0)</f>
        <v/>
      </c>
      <c r="Q150" s="94" t="inlineStr">
        <is>
          <t>2025-08-15</t>
        </is>
      </c>
      <c r="R150" s="94" t="inlineStr">
        <is>
          <t>2025-09-19</t>
        </is>
      </c>
      <c r="S150" s="94" t="inlineStr">
        <is>
          <t>Retail</t>
        </is>
      </c>
      <c r="T150" s="94" t="inlineStr">
        <is>
          <t>Completed</t>
        </is>
      </c>
      <c r="U150" s="94" t="inlineStr">
        <is>
          <t>Cross-sell campaign - Retail</t>
        </is>
      </c>
    </row>
    <row r="151" ht="15" customHeight="1" s="66">
      <c r="A151" s="102" t="inlineStr">
        <is>
          <t>CAMP-2025150</t>
        </is>
      </c>
      <c r="B151" s="102" t="inlineStr">
        <is>
          <t>Twitter/X Ads - Winback - Q2 Epsilon</t>
        </is>
      </c>
      <c r="C151" s="102" t="inlineStr">
        <is>
          <t>Twitter/X Ads</t>
        </is>
      </c>
      <c r="D151" s="102" t="inlineStr">
        <is>
          <t>Winback</t>
        </is>
      </c>
      <c r="E151" s="102" t="inlineStr">
        <is>
          <t>Q2</t>
        </is>
      </c>
      <c r="F151" s="103" t="n">
        <v>5000</v>
      </c>
      <c r="G151" s="103" t="n">
        <v>9300</v>
      </c>
      <c r="H151" s="105" t="n">
        <v>90</v>
      </c>
      <c r="I151" s="105" t="n">
        <v>18</v>
      </c>
      <c r="J151" s="105" t="n">
        <v>4359</v>
      </c>
      <c r="K151" s="105" t="n">
        <v>100636</v>
      </c>
      <c r="L151" s="107">
        <f>IFERROR(J151/K151,0)</f>
        <v/>
      </c>
      <c r="M151" s="108">
        <f>IFERROR(F151/J151,0)</f>
        <v/>
      </c>
      <c r="N151" s="103">
        <f>IFERROR(F151/I151,0)</f>
        <v/>
      </c>
      <c r="O151" s="106">
        <f>IFERROR((G151-F151)/F151,0)</f>
        <v/>
      </c>
      <c r="P151" s="106">
        <f>IFERROR(I151/H151,0)</f>
        <v/>
      </c>
      <c r="Q151" s="102" t="inlineStr">
        <is>
          <t>2025-07-03</t>
        </is>
      </c>
      <c r="R151" s="102" t="inlineStr">
        <is>
          <t>2025-08-23</t>
        </is>
      </c>
      <c r="S151" s="102" t="inlineStr">
        <is>
          <t>SaaS Companies</t>
        </is>
      </c>
      <c r="T151" s="102" t="inlineStr">
        <is>
          <t>Completed</t>
        </is>
      </c>
      <c r="U151" s="102" t="inlineStr">
        <is>
          <t>Winback campaign - SaaS Companies</t>
        </is>
      </c>
    </row>
    <row r="152" ht="15" customHeight="1" s="66">
      <c r="A152" s="94" t="inlineStr">
        <is>
          <t>CAMP-2025151</t>
        </is>
      </c>
      <c r="B152" s="94" t="inlineStr">
        <is>
          <t>TikTok Ads - Brand Awareness - Q3 Alpha</t>
        </is>
      </c>
      <c r="C152" s="94" t="inlineStr">
        <is>
          <t>TikTok Ads</t>
        </is>
      </c>
      <c r="D152" s="94" t="inlineStr">
        <is>
          <t>Brand Awareness</t>
        </is>
      </c>
      <c r="E152" s="94" t="inlineStr">
        <is>
          <t>Q3</t>
        </is>
      </c>
      <c r="F152" s="95" t="n">
        <v>18000</v>
      </c>
      <c r="G152" s="95" t="n">
        <v>53905</v>
      </c>
      <c r="H152" s="97" t="n">
        <v>663</v>
      </c>
      <c r="I152" s="97" t="n">
        <v>97</v>
      </c>
      <c r="J152" s="97" t="n">
        <v>5029</v>
      </c>
      <c r="K152" s="97" t="n">
        <v>269218</v>
      </c>
      <c r="L152" s="99">
        <f>IFERROR(J152/K152,0)</f>
        <v/>
      </c>
      <c r="M152" s="100">
        <f>IFERROR(F152/J152,0)</f>
        <v/>
      </c>
      <c r="N152" s="95">
        <f>IFERROR(F152/I152,0)</f>
        <v/>
      </c>
      <c r="O152" s="98">
        <f>IFERROR((G152-F152)/F152,0)</f>
        <v/>
      </c>
      <c r="P152" s="98">
        <f>IFERROR(I152/H152,0)</f>
        <v/>
      </c>
      <c r="Q152" s="94" t="inlineStr">
        <is>
          <t>2025-11-15</t>
        </is>
      </c>
      <c r="R152" s="94" t="inlineStr">
        <is>
          <t>2026-01-20</t>
        </is>
      </c>
      <c r="S152" s="94" t="inlineStr">
        <is>
          <t>B2B Executives</t>
        </is>
      </c>
      <c r="T152" s="94" t="inlineStr">
        <is>
          <t>Paused</t>
        </is>
      </c>
      <c r="U152" s="94" t="inlineStr">
        <is>
          <t>Brand Awareness campaign - B2B Executives</t>
        </is>
      </c>
    </row>
    <row r="153" ht="15" customHeight="1" s="66">
      <c r="A153" s="102" t="inlineStr">
        <is>
          <t>CAMP-2025152</t>
        </is>
      </c>
      <c r="B153" s="102" t="inlineStr">
        <is>
          <t>Display/Banner - Lead Gen - Q3 Beta</t>
        </is>
      </c>
      <c r="C153" s="102" t="inlineStr">
        <is>
          <t>Display/Banner</t>
        </is>
      </c>
      <c r="D153" s="102" t="inlineStr">
        <is>
          <t>Lead Gen</t>
        </is>
      </c>
      <c r="E153" s="102" t="inlineStr">
        <is>
          <t>Q3</t>
        </is>
      </c>
      <c r="F153" s="103" t="n">
        <v>50000</v>
      </c>
      <c r="G153" s="103" t="n">
        <v>182729</v>
      </c>
      <c r="H153" s="105" t="n">
        <v>1592</v>
      </c>
      <c r="I153" s="105" t="n">
        <v>262</v>
      </c>
      <c r="J153" s="105" t="n">
        <v>11249</v>
      </c>
      <c r="K153" s="105" t="n">
        <v>373663</v>
      </c>
      <c r="L153" s="107">
        <f>IFERROR(J153/K153,0)</f>
        <v/>
      </c>
      <c r="M153" s="108">
        <f>IFERROR(F153/J153,0)</f>
        <v/>
      </c>
      <c r="N153" s="103">
        <f>IFERROR(F153/I153,0)</f>
        <v/>
      </c>
      <c r="O153" s="106">
        <f>IFERROR((G153-F153)/F153,0)</f>
        <v/>
      </c>
      <c r="P153" s="106">
        <f>IFERROR(I153/H153,0)</f>
        <v/>
      </c>
      <c r="Q153" s="102" t="inlineStr">
        <is>
          <t>2025-10-29</t>
        </is>
      </c>
      <c r="R153" s="102" t="inlineStr">
        <is>
          <t>2025-12-09</t>
        </is>
      </c>
      <c r="S153" s="102" t="inlineStr">
        <is>
          <t>SMB Owners</t>
        </is>
      </c>
      <c r="T153" s="102" t="inlineStr">
        <is>
          <t>Planning</t>
        </is>
      </c>
      <c r="U153" s="102" t="inlineStr">
        <is>
          <t>Lead Gen campaign - SMB Owners</t>
        </is>
      </c>
    </row>
    <row r="154" ht="15" customHeight="1" s="66">
      <c r="A154" s="94" t="inlineStr">
        <is>
          <t>CAMP-2025153</t>
        </is>
      </c>
      <c r="B154" s="94" t="inlineStr">
        <is>
          <t>Podcast Ads - Retargeting - Q3 Gamma</t>
        </is>
      </c>
      <c r="C154" s="94" t="inlineStr">
        <is>
          <t>Podcast Ads</t>
        </is>
      </c>
      <c r="D154" s="94" t="inlineStr">
        <is>
          <t>Retargeting</t>
        </is>
      </c>
      <c r="E154" s="94" t="inlineStr">
        <is>
          <t>Q3</t>
        </is>
      </c>
      <c r="F154" s="95" t="n">
        <v>80000</v>
      </c>
      <c r="G154" s="95" t="n">
        <v>169539</v>
      </c>
      <c r="H154" s="97" t="n">
        <v>1910</v>
      </c>
      <c r="I154" s="97" t="n">
        <v>348</v>
      </c>
      <c r="J154" s="97" t="n">
        <v>33152</v>
      </c>
      <c r="K154" s="97" t="n">
        <v>431872</v>
      </c>
      <c r="L154" s="99">
        <f>IFERROR(J154/K154,0)</f>
        <v/>
      </c>
      <c r="M154" s="100">
        <f>IFERROR(F154/J154,0)</f>
        <v/>
      </c>
      <c r="N154" s="95">
        <f>IFERROR(F154/I154,0)</f>
        <v/>
      </c>
      <c r="O154" s="98">
        <f>IFERROR((G154-F154)/F154,0)</f>
        <v/>
      </c>
      <c r="P154" s="98">
        <f>IFERROR(I154/H154,0)</f>
        <v/>
      </c>
      <c r="Q154" s="94" t="inlineStr">
        <is>
          <t>2025-10-12</t>
        </is>
      </c>
      <c r="R154" s="94" t="inlineStr">
        <is>
          <t>2026-01-07</t>
        </is>
      </c>
      <c r="S154" s="94" t="inlineStr">
        <is>
          <t>Enterprise IT</t>
        </is>
      </c>
      <c r="T154" s="94" t="inlineStr">
        <is>
          <t>Active</t>
        </is>
      </c>
      <c r="U154" s="94" t="inlineStr">
        <is>
          <t>Retargeting campaign - Enterprise IT</t>
        </is>
      </c>
    </row>
    <row r="155" ht="15" customHeight="1" s="66">
      <c r="A155" s="102" t="inlineStr">
        <is>
          <t>CAMP-2025154</t>
        </is>
      </c>
      <c r="B155" s="102" t="inlineStr">
        <is>
          <t>Webinars - Product Launch - Q4 Delta</t>
        </is>
      </c>
      <c r="C155" s="102" t="inlineStr">
        <is>
          <t>Webinars</t>
        </is>
      </c>
      <c r="D155" s="102" t="inlineStr">
        <is>
          <t>Product Launch</t>
        </is>
      </c>
      <c r="E155" s="102" t="inlineStr">
        <is>
          <t>Q4</t>
        </is>
      </c>
      <c r="F155" s="103" t="n">
        <v>51000</v>
      </c>
      <c r="G155" s="103" t="n">
        <v>101118</v>
      </c>
      <c r="H155" s="105" t="n">
        <v>1993</v>
      </c>
      <c r="I155" s="105" t="n">
        <v>322</v>
      </c>
      <c r="J155" s="105" t="n">
        <v>16323</v>
      </c>
      <c r="K155" s="105" t="n">
        <v>522908</v>
      </c>
      <c r="L155" s="107">
        <f>IFERROR(J155/K155,0)</f>
        <v/>
      </c>
      <c r="M155" s="108">
        <f>IFERROR(F155/J155,0)</f>
        <v/>
      </c>
      <c r="N155" s="103">
        <f>IFERROR(F155/I155,0)</f>
        <v/>
      </c>
      <c r="O155" s="106">
        <f>IFERROR((G155-F155)/F155,0)</f>
        <v/>
      </c>
      <c r="P155" s="106">
        <f>IFERROR(I155/H155,0)</f>
        <v/>
      </c>
      <c r="Q155" s="102" t="inlineStr">
        <is>
          <t>2025-08-15</t>
        </is>
      </c>
      <c r="R155" s="102" t="inlineStr">
        <is>
          <t>2025-08-31</t>
        </is>
      </c>
      <c r="S155" s="102" t="inlineStr">
        <is>
          <t>Marketing Leaders</t>
        </is>
      </c>
      <c r="T155" s="102" t="inlineStr">
        <is>
          <t>Paused</t>
        </is>
      </c>
      <c r="U155" s="102" t="inlineStr">
        <is>
          <t>Product Launch campaign - Marketing Leaders</t>
        </is>
      </c>
    </row>
    <row r="156" ht="15" customHeight="1" s="66">
      <c r="A156" s="94" t="inlineStr">
        <is>
          <t>CAMP-2025155</t>
        </is>
      </c>
      <c r="B156" s="94" t="inlineStr">
        <is>
          <t>Google Ads - Nurture - Q4 Epsilon</t>
        </is>
      </c>
      <c r="C156" s="94" t="inlineStr">
        <is>
          <t>Google Ads</t>
        </is>
      </c>
      <c r="D156" s="94" t="inlineStr">
        <is>
          <t>Nurture</t>
        </is>
      </c>
      <c r="E156" s="94" t="inlineStr">
        <is>
          <t>Q4</t>
        </is>
      </c>
      <c r="F156" s="95" t="n">
        <v>43000</v>
      </c>
      <c r="G156" s="95" t="n">
        <v>188824</v>
      </c>
      <c r="H156" s="97" t="n">
        <v>1461</v>
      </c>
      <c r="I156" s="97" t="n">
        <v>242</v>
      </c>
      <c r="J156" s="97" t="n">
        <v>10931</v>
      </c>
      <c r="K156" s="97" t="n">
        <v>998925</v>
      </c>
      <c r="L156" s="99">
        <f>IFERROR(J156/K156,0)</f>
        <v/>
      </c>
      <c r="M156" s="100">
        <f>IFERROR(F156/J156,0)</f>
        <v/>
      </c>
      <c r="N156" s="95">
        <f>IFERROR(F156/I156,0)</f>
        <v/>
      </c>
      <c r="O156" s="98">
        <f>IFERROR((G156-F156)/F156,0)</f>
        <v/>
      </c>
      <c r="P156" s="98">
        <f>IFERROR(I156/H156,0)</f>
        <v/>
      </c>
      <c r="Q156" s="94" t="inlineStr">
        <is>
          <t>2025-03-19</t>
        </is>
      </c>
      <c r="R156" s="94" t="inlineStr">
        <is>
          <t>2025-05-11</t>
        </is>
      </c>
      <c r="S156" s="94" t="inlineStr">
        <is>
          <t>Finance Teams</t>
        </is>
      </c>
      <c r="T156" s="94" t="inlineStr">
        <is>
          <t>Completed</t>
        </is>
      </c>
      <c r="U156" s="94" t="inlineStr">
        <is>
          <t>Nurture campaign - Finance Teams</t>
        </is>
      </c>
    </row>
    <row r="157" ht="15" customHeight="1" s="66">
      <c r="A157" s="102" t="inlineStr">
        <is>
          <t>CAMP-2025156</t>
        </is>
      </c>
      <c r="B157" s="102" t="inlineStr">
        <is>
          <t>Facebook Ads - Event Promo - Q4 Alpha</t>
        </is>
      </c>
      <c r="C157" s="102" t="inlineStr">
        <is>
          <t>Facebook Ads</t>
        </is>
      </c>
      <c r="D157" s="102" t="inlineStr">
        <is>
          <t>Event Promo</t>
        </is>
      </c>
      <c r="E157" s="102" t="inlineStr">
        <is>
          <t>Q4</t>
        </is>
      </c>
      <c r="F157" s="103" t="n">
        <v>68000</v>
      </c>
      <c r="G157" s="103" t="n">
        <v>269332</v>
      </c>
      <c r="H157" s="105" t="n">
        <v>4421</v>
      </c>
      <c r="I157" s="105" t="n">
        <v>775</v>
      </c>
      <c r="J157" s="105" t="n">
        <v>27349</v>
      </c>
      <c r="K157" s="105" t="n">
        <v>495988</v>
      </c>
      <c r="L157" s="107">
        <f>IFERROR(J157/K157,0)</f>
        <v/>
      </c>
      <c r="M157" s="108">
        <f>IFERROR(F157/J157,0)</f>
        <v/>
      </c>
      <c r="N157" s="103">
        <f>IFERROR(F157/I157,0)</f>
        <v/>
      </c>
      <c r="O157" s="106">
        <f>IFERROR((G157-F157)/F157,0)</f>
        <v/>
      </c>
      <c r="P157" s="106">
        <f>IFERROR(I157/H157,0)</f>
        <v/>
      </c>
      <c r="Q157" s="102" t="inlineStr">
        <is>
          <t>2025-03-04</t>
        </is>
      </c>
      <c r="R157" s="102" t="inlineStr">
        <is>
          <t>2025-05-22</t>
        </is>
      </c>
      <c r="S157" s="102" t="inlineStr">
        <is>
          <t>E-commerce</t>
        </is>
      </c>
      <c r="T157" s="102" t="inlineStr">
        <is>
          <t>Completed</t>
        </is>
      </c>
      <c r="U157" s="102" t="inlineStr">
        <is>
          <t>Event Promo campaign - E-commerce</t>
        </is>
      </c>
    </row>
    <row r="158" ht="15" customHeight="1" s="66">
      <c r="A158" s="94" t="inlineStr">
        <is>
          <t>CAMP-2025157</t>
        </is>
      </c>
      <c r="B158" s="94" t="inlineStr">
        <is>
          <t>LinkedIn Ads - Seasonal - Q1 Beta</t>
        </is>
      </c>
      <c r="C158" s="94" t="inlineStr">
        <is>
          <t>LinkedIn Ads</t>
        </is>
      </c>
      <c r="D158" s="94" t="inlineStr">
        <is>
          <t>Seasonal</t>
        </is>
      </c>
      <c r="E158" s="94" t="inlineStr">
        <is>
          <t>Q1</t>
        </is>
      </c>
      <c r="F158" s="95" t="n">
        <v>29000</v>
      </c>
      <c r="G158" s="95" t="n">
        <v>72398</v>
      </c>
      <c r="H158" s="97" t="n">
        <v>642</v>
      </c>
      <c r="I158" s="97" t="n">
        <v>130</v>
      </c>
      <c r="J158" s="97" t="n">
        <v>19638</v>
      </c>
      <c r="K158" s="97" t="n">
        <v>259395</v>
      </c>
      <c r="L158" s="99">
        <f>IFERROR(J158/K158,0)</f>
        <v/>
      </c>
      <c r="M158" s="100">
        <f>IFERROR(F158/J158,0)</f>
        <v/>
      </c>
      <c r="N158" s="95">
        <f>IFERROR(F158/I158,0)</f>
        <v/>
      </c>
      <c r="O158" s="98">
        <f>IFERROR((G158-F158)/F158,0)</f>
        <v/>
      </c>
      <c r="P158" s="98">
        <f>IFERROR(I158/H158,0)</f>
        <v/>
      </c>
      <c r="Q158" s="94" t="inlineStr">
        <is>
          <t>2025-02-22</t>
        </is>
      </c>
      <c r="R158" s="94" t="inlineStr">
        <is>
          <t>2025-05-13</t>
        </is>
      </c>
      <c r="S158" s="94" t="inlineStr">
        <is>
          <t>Tech Startups</t>
        </is>
      </c>
      <c r="T158" s="94" t="inlineStr">
        <is>
          <t>Completed</t>
        </is>
      </c>
      <c r="U158" s="94" t="inlineStr">
        <is>
          <t>Seasonal campaign - Tech Startups</t>
        </is>
      </c>
    </row>
    <row r="159" ht="15" customHeight="1" s="66">
      <c r="A159" s="102" t="inlineStr">
        <is>
          <t>CAMP-2025158</t>
        </is>
      </c>
      <c r="B159" s="102" t="inlineStr">
        <is>
          <t>Email Marketing - Upsell - Q1 Gamma</t>
        </is>
      </c>
      <c r="C159" s="102" t="inlineStr">
        <is>
          <t>Email Marketing</t>
        </is>
      </c>
      <c r="D159" s="102" t="inlineStr">
        <is>
          <t>Upsell</t>
        </is>
      </c>
      <c r="E159" s="102" t="inlineStr">
        <is>
          <t>Q1</t>
        </is>
      </c>
      <c r="F159" s="103" t="n">
        <v>80000</v>
      </c>
      <c r="G159" s="103" t="n">
        <v>312226</v>
      </c>
      <c r="H159" s="105" t="n">
        <v>1515</v>
      </c>
      <c r="I159" s="105" t="n">
        <v>288</v>
      </c>
      <c r="J159" s="105" t="n">
        <v>0</v>
      </c>
      <c r="K159" s="105" t="n">
        <v>0</v>
      </c>
      <c r="L159" s="107">
        <f>IFERROR(J159/K159,0)</f>
        <v/>
      </c>
      <c r="M159" s="108">
        <f>IFERROR(F159/J159,0)</f>
        <v/>
      </c>
      <c r="N159" s="103">
        <f>IFERROR(F159/I159,0)</f>
        <v/>
      </c>
      <c r="O159" s="106">
        <f>IFERROR((G159-F159)/F159,0)</f>
        <v/>
      </c>
      <c r="P159" s="106">
        <f>IFERROR(I159/H159,0)</f>
        <v/>
      </c>
      <c r="Q159" s="102" t="inlineStr">
        <is>
          <t>2025-01-10</t>
        </is>
      </c>
      <c r="R159" s="102" t="inlineStr">
        <is>
          <t>2025-02-02</t>
        </is>
      </c>
      <c r="S159" s="102" t="inlineStr">
        <is>
          <t>Healthcare</t>
        </is>
      </c>
      <c r="T159" s="102" t="inlineStr">
        <is>
          <t>Active</t>
        </is>
      </c>
      <c r="U159" s="102" t="inlineStr">
        <is>
          <t>Upsell campaign - Healthcare</t>
        </is>
      </c>
    </row>
    <row r="160" ht="15" customHeight="1" s="66">
      <c r="A160" s="94" t="inlineStr">
        <is>
          <t>CAMP-2025159</t>
        </is>
      </c>
      <c r="B160" s="94" t="inlineStr">
        <is>
          <t>SEO/Organic - Cross-sell - Q1 Delta</t>
        </is>
      </c>
      <c r="C160" s="94" t="inlineStr">
        <is>
          <t>SEO/Organic</t>
        </is>
      </c>
      <c r="D160" s="94" t="inlineStr">
        <is>
          <t>Cross-sell</t>
        </is>
      </c>
      <c r="E160" s="94" t="inlineStr">
        <is>
          <t>Q1</t>
        </is>
      </c>
      <c r="F160" s="95" t="n">
        <v>80000</v>
      </c>
      <c r="G160" s="95" t="n">
        <v>251688</v>
      </c>
      <c r="H160" s="97" t="n">
        <v>1856</v>
      </c>
      <c r="I160" s="97" t="n">
        <v>342</v>
      </c>
      <c r="J160" s="97" t="n">
        <v>0</v>
      </c>
      <c r="K160" s="97" t="n">
        <v>0</v>
      </c>
      <c r="L160" s="99">
        <f>IFERROR(J160/K160,0)</f>
        <v/>
      </c>
      <c r="M160" s="100">
        <f>IFERROR(F160/J160,0)</f>
        <v/>
      </c>
      <c r="N160" s="95">
        <f>IFERROR(F160/I160,0)</f>
        <v/>
      </c>
      <c r="O160" s="98">
        <f>IFERROR((G160-F160)/F160,0)</f>
        <v/>
      </c>
      <c r="P160" s="98">
        <f>IFERROR(I160/H160,0)</f>
        <v/>
      </c>
      <c r="Q160" s="94" t="inlineStr">
        <is>
          <t>2025-09-07</t>
        </is>
      </c>
      <c r="R160" s="94" t="inlineStr">
        <is>
          <t>2025-10-04</t>
        </is>
      </c>
      <c r="S160" s="94" t="inlineStr">
        <is>
          <t>Retail</t>
        </is>
      </c>
      <c r="T160" s="94" t="inlineStr">
        <is>
          <t>Completed</t>
        </is>
      </c>
      <c r="U160" s="94" t="inlineStr">
        <is>
          <t>Cross-sell campaign - Retail</t>
        </is>
      </c>
    </row>
    <row r="161" ht="15" customHeight="1" s="66">
      <c r="A161" s="102" t="inlineStr">
        <is>
          <t>CAMP-2025160</t>
        </is>
      </c>
      <c r="B161" s="102" t="inlineStr">
        <is>
          <t>Content Marketing - Winback - Q2 Epsilon</t>
        </is>
      </c>
      <c r="C161" s="102" t="inlineStr">
        <is>
          <t>Content Marketing</t>
        </is>
      </c>
      <c r="D161" s="102" t="inlineStr">
        <is>
          <t>Winback</t>
        </is>
      </c>
      <c r="E161" s="102" t="inlineStr">
        <is>
          <t>Q2</t>
        </is>
      </c>
      <c r="F161" s="103" t="n">
        <v>30000</v>
      </c>
      <c r="G161" s="103" t="n">
        <v>52883</v>
      </c>
      <c r="H161" s="105" t="n">
        <v>593</v>
      </c>
      <c r="I161" s="105" t="n">
        <v>135</v>
      </c>
      <c r="J161" s="105" t="n">
        <v>0</v>
      </c>
      <c r="K161" s="105" t="n">
        <v>0</v>
      </c>
      <c r="L161" s="107">
        <f>IFERROR(J161/K161,0)</f>
        <v/>
      </c>
      <c r="M161" s="108">
        <f>IFERROR(F161/J161,0)</f>
        <v/>
      </c>
      <c r="N161" s="103">
        <f>IFERROR(F161/I161,0)</f>
        <v/>
      </c>
      <c r="O161" s="106">
        <f>IFERROR((G161-F161)/F161,0)</f>
        <v/>
      </c>
      <c r="P161" s="106">
        <f>IFERROR(I161/H161,0)</f>
        <v/>
      </c>
      <c r="Q161" s="102" t="inlineStr">
        <is>
          <t>2025-04-10</t>
        </is>
      </c>
      <c r="R161" s="102" t="inlineStr">
        <is>
          <t>2025-06-04</t>
        </is>
      </c>
      <c r="S161" s="102" t="inlineStr">
        <is>
          <t>SaaS Companies</t>
        </is>
      </c>
      <c r="T161" s="102" t="inlineStr">
        <is>
          <t>Planning</t>
        </is>
      </c>
      <c r="U161" s="102" t="inlineStr">
        <is>
          <t>Winback campaign - SaaS Companies</t>
        </is>
      </c>
    </row>
    <row r="162" ht="15" customHeight="1" s="66">
      <c r="A162" s="94" t="inlineStr">
        <is>
          <t>CAMP-2025161</t>
        </is>
      </c>
      <c r="B162" s="94" t="inlineStr">
        <is>
          <t>Affiliate - Brand Awareness - Q2 Alpha</t>
        </is>
      </c>
      <c r="C162" s="94" t="inlineStr">
        <is>
          <t>Affiliate</t>
        </is>
      </c>
      <c r="D162" s="94" t="inlineStr">
        <is>
          <t>Brand Awareness</t>
        </is>
      </c>
      <c r="E162" s="94" t="inlineStr">
        <is>
          <t>Q2</t>
        </is>
      </c>
      <c r="F162" s="95" t="n">
        <v>75000</v>
      </c>
      <c r="G162" s="95" t="n">
        <v>116655</v>
      </c>
      <c r="H162" s="97" t="n">
        <v>2293</v>
      </c>
      <c r="I162" s="97" t="n">
        <v>288</v>
      </c>
      <c r="J162" s="97" t="n">
        <v>38207</v>
      </c>
      <c r="K162" s="97" t="n">
        <v>480088</v>
      </c>
      <c r="L162" s="99">
        <f>IFERROR(J162/K162,0)</f>
        <v/>
      </c>
      <c r="M162" s="100">
        <f>IFERROR(F162/J162,0)</f>
        <v/>
      </c>
      <c r="N162" s="95">
        <f>IFERROR(F162/I162,0)</f>
        <v/>
      </c>
      <c r="O162" s="98">
        <f>IFERROR((G162-F162)/F162,0)</f>
        <v/>
      </c>
      <c r="P162" s="98">
        <f>IFERROR(I162/H162,0)</f>
        <v/>
      </c>
      <c r="Q162" s="94" t="inlineStr">
        <is>
          <t>2025-07-05</t>
        </is>
      </c>
      <c r="R162" s="94" t="inlineStr">
        <is>
          <t>2025-09-18</t>
        </is>
      </c>
      <c r="S162" s="94" t="inlineStr">
        <is>
          <t>B2B Executives</t>
        </is>
      </c>
      <c r="T162" s="94" t="inlineStr">
        <is>
          <t>Completed</t>
        </is>
      </c>
      <c r="U162" s="94" t="inlineStr">
        <is>
          <t>Brand Awareness campaign - B2B Executives</t>
        </is>
      </c>
    </row>
    <row r="163" ht="15" customHeight="1" s="66">
      <c r="A163" s="102" t="inlineStr">
        <is>
          <t>CAMP-2025162</t>
        </is>
      </c>
      <c r="B163" s="102" t="inlineStr">
        <is>
          <t>Influencer - Lead Gen - Q2 Beta</t>
        </is>
      </c>
      <c r="C163" s="102" t="inlineStr">
        <is>
          <t>Influencer</t>
        </is>
      </c>
      <c r="D163" s="102" t="inlineStr">
        <is>
          <t>Lead Gen</t>
        </is>
      </c>
      <c r="E163" s="102" t="inlineStr">
        <is>
          <t>Q2</t>
        </is>
      </c>
      <c r="F163" s="103" t="n">
        <v>74000</v>
      </c>
      <c r="G163" s="103" t="n">
        <v>292246</v>
      </c>
      <c r="H163" s="105" t="n">
        <v>1617</v>
      </c>
      <c r="I163" s="105" t="n">
        <v>166</v>
      </c>
      <c r="J163" s="105" t="n">
        <v>20715</v>
      </c>
      <c r="K163" s="105" t="n">
        <v>1820509</v>
      </c>
      <c r="L163" s="107">
        <f>IFERROR(J163/K163,0)</f>
        <v/>
      </c>
      <c r="M163" s="108">
        <f>IFERROR(F163/J163,0)</f>
        <v/>
      </c>
      <c r="N163" s="103">
        <f>IFERROR(F163/I163,0)</f>
        <v/>
      </c>
      <c r="O163" s="106">
        <f>IFERROR((G163-F163)/F163,0)</f>
        <v/>
      </c>
      <c r="P163" s="106">
        <f>IFERROR(I163/H163,0)</f>
        <v/>
      </c>
      <c r="Q163" s="102" t="inlineStr">
        <is>
          <t>2025-05-01</t>
        </is>
      </c>
      <c r="R163" s="102" t="inlineStr">
        <is>
          <t>2025-05-15</t>
        </is>
      </c>
      <c r="S163" s="102" t="inlineStr">
        <is>
          <t>SMB Owners</t>
        </is>
      </c>
      <c r="T163" s="102" t="inlineStr">
        <is>
          <t>Completed</t>
        </is>
      </c>
      <c r="U163" s="102" t="inlineStr">
        <is>
          <t>Lead Gen campaign - SMB Owners</t>
        </is>
      </c>
    </row>
    <row r="164" ht="15" customHeight="1" s="66">
      <c r="A164" s="94" t="inlineStr">
        <is>
          <t>CAMP-2025163</t>
        </is>
      </c>
      <c r="B164" s="94" t="inlineStr">
        <is>
          <t>YouTube Ads - Retargeting - Q3 Gamma</t>
        </is>
      </c>
      <c r="C164" s="94" t="inlineStr">
        <is>
          <t>YouTube Ads</t>
        </is>
      </c>
      <c r="D164" s="94" t="inlineStr">
        <is>
          <t>Retargeting</t>
        </is>
      </c>
      <c r="E164" s="94" t="inlineStr">
        <is>
          <t>Q3</t>
        </is>
      </c>
      <c r="F164" s="95" t="n">
        <v>2000</v>
      </c>
      <c r="G164" s="95" t="n">
        <v>3007</v>
      </c>
      <c r="H164" s="97" t="n">
        <v>36</v>
      </c>
      <c r="I164" s="97" t="n">
        <v>9</v>
      </c>
      <c r="J164" s="97" t="n">
        <v>1147</v>
      </c>
      <c r="K164" s="97" t="n">
        <v>23283</v>
      </c>
      <c r="L164" s="99">
        <f>IFERROR(J164/K164,0)</f>
        <v/>
      </c>
      <c r="M164" s="100">
        <f>IFERROR(F164/J164,0)</f>
        <v/>
      </c>
      <c r="N164" s="95">
        <f>IFERROR(F164/I164,0)</f>
        <v/>
      </c>
      <c r="O164" s="98">
        <f>IFERROR((G164-F164)/F164,0)</f>
        <v/>
      </c>
      <c r="P164" s="98">
        <f>IFERROR(I164/H164,0)</f>
        <v/>
      </c>
      <c r="Q164" s="94" t="inlineStr">
        <is>
          <t>2025-11-04</t>
        </is>
      </c>
      <c r="R164" s="94" t="inlineStr">
        <is>
          <t>2026-01-01</t>
        </is>
      </c>
      <c r="S164" s="94" t="inlineStr">
        <is>
          <t>Enterprise IT</t>
        </is>
      </c>
      <c r="T164" s="94" t="inlineStr">
        <is>
          <t>Completed</t>
        </is>
      </c>
      <c r="U164" s="94" t="inlineStr">
        <is>
          <t>Retargeting campaign - Enterprise IT</t>
        </is>
      </c>
    </row>
    <row r="165" ht="15" customHeight="1" s="66">
      <c r="A165" s="102" t="inlineStr">
        <is>
          <t>CAMP-2025164</t>
        </is>
      </c>
      <c r="B165" s="102" t="inlineStr">
        <is>
          <t>Twitter/X Ads - Product Launch - Q3 Delta</t>
        </is>
      </c>
      <c r="C165" s="102" t="inlineStr">
        <is>
          <t>Twitter/X Ads</t>
        </is>
      </c>
      <c r="D165" s="102" t="inlineStr">
        <is>
          <t>Product Launch</t>
        </is>
      </c>
      <c r="E165" s="102" t="inlineStr">
        <is>
          <t>Q3</t>
        </is>
      </c>
      <c r="F165" s="103" t="n">
        <v>62000</v>
      </c>
      <c r="G165" s="103" t="n">
        <v>181864</v>
      </c>
      <c r="H165" s="105" t="n">
        <v>2009</v>
      </c>
      <c r="I165" s="105" t="n">
        <v>287</v>
      </c>
      <c r="J165" s="105" t="n">
        <v>16300</v>
      </c>
      <c r="K165" s="105" t="n">
        <v>214519</v>
      </c>
      <c r="L165" s="107">
        <f>IFERROR(J165/K165,0)</f>
        <v/>
      </c>
      <c r="M165" s="108">
        <f>IFERROR(F165/J165,0)</f>
        <v/>
      </c>
      <c r="N165" s="103">
        <f>IFERROR(F165/I165,0)</f>
        <v/>
      </c>
      <c r="O165" s="106">
        <f>IFERROR((G165-F165)/F165,0)</f>
        <v/>
      </c>
      <c r="P165" s="106">
        <f>IFERROR(I165/H165,0)</f>
        <v/>
      </c>
      <c r="Q165" s="102" t="inlineStr">
        <is>
          <t>2025-10-03</t>
        </is>
      </c>
      <c r="R165" s="102" t="inlineStr">
        <is>
          <t>2025-10-23</t>
        </is>
      </c>
      <c r="S165" s="102" t="inlineStr">
        <is>
          <t>Marketing Leaders</t>
        </is>
      </c>
      <c r="T165" s="102" t="inlineStr">
        <is>
          <t>Completed</t>
        </is>
      </c>
      <c r="U165" s="102" t="inlineStr">
        <is>
          <t>Product Launch campaign - Marketing Leaders</t>
        </is>
      </c>
    </row>
    <row r="166" ht="15" customHeight="1" s="66">
      <c r="A166" s="94" t="inlineStr">
        <is>
          <t>CAMP-2025165</t>
        </is>
      </c>
      <c r="B166" s="94" t="inlineStr">
        <is>
          <t>TikTok Ads - Nurture - Q3 Epsilon</t>
        </is>
      </c>
      <c r="C166" s="94" t="inlineStr">
        <is>
          <t>TikTok Ads</t>
        </is>
      </c>
      <c r="D166" s="94" t="inlineStr">
        <is>
          <t>Nurture</t>
        </is>
      </c>
      <c r="E166" s="94" t="inlineStr">
        <is>
          <t>Q3</t>
        </is>
      </c>
      <c r="F166" s="95" t="n">
        <v>36000</v>
      </c>
      <c r="G166" s="95" t="n">
        <v>124646</v>
      </c>
      <c r="H166" s="97" t="n">
        <v>628</v>
      </c>
      <c r="I166" s="97" t="n">
        <v>141</v>
      </c>
      <c r="J166" s="97" t="n">
        <v>29913</v>
      </c>
      <c r="K166" s="97" t="n">
        <v>1165261</v>
      </c>
      <c r="L166" s="99">
        <f>IFERROR(J166/K166,0)</f>
        <v/>
      </c>
      <c r="M166" s="100">
        <f>IFERROR(F166/J166,0)</f>
        <v/>
      </c>
      <c r="N166" s="95">
        <f>IFERROR(F166/I166,0)</f>
        <v/>
      </c>
      <c r="O166" s="98">
        <f>IFERROR((G166-F166)/F166,0)</f>
        <v/>
      </c>
      <c r="P166" s="98">
        <f>IFERROR(I166/H166,0)</f>
        <v/>
      </c>
      <c r="Q166" s="94" t="inlineStr">
        <is>
          <t>2025-05-19</t>
        </is>
      </c>
      <c r="R166" s="94" t="inlineStr">
        <is>
          <t>2025-06-24</t>
        </is>
      </c>
      <c r="S166" s="94" t="inlineStr">
        <is>
          <t>Finance Teams</t>
        </is>
      </c>
      <c r="T166" s="94" t="inlineStr">
        <is>
          <t>Paused</t>
        </is>
      </c>
      <c r="U166" s="94" t="inlineStr">
        <is>
          <t>Nurture campaign - Finance Teams</t>
        </is>
      </c>
    </row>
    <row r="167" ht="15" customHeight="1" s="66">
      <c r="A167" s="102" t="inlineStr">
        <is>
          <t>CAMP-2025166</t>
        </is>
      </c>
      <c r="B167" s="102" t="inlineStr">
        <is>
          <t>Display/Banner - Event Promo - Q4 Alpha</t>
        </is>
      </c>
      <c r="C167" s="102" t="inlineStr">
        <is>
          <t>Display/Banner</t>
        </is>
      </c>
      <c r="D167" s="102" t="inlineStr">
        <is>
          <t>Event Promo</t>
        </is>
      </c>
      <c r="E167" s="102" t="inlineStr">
        <is>
          <t>Q4</t>
        </is>
      </c>
      <c r="F167" s="103" t="n">
        <v>34000</v>
      </c>
      <c r="G167" s="103" t="n">
        <v>51745</v>
      </c>
      <c r="H167" s="105" t="n">
        <v>1946</v>
      </c>
      <c r="I167" s="105" t="n">
        <v>461</v>
      </c>
      <c r="J167" s="105" t="n">
        <v>15173</v>
      </c>
      <c r="K167" s="105" t="n">
        <v>878226</v>
      </c>
      <c r="L167" s="107">
        <f>IFERROR(J167/K167,0)</f>
        <v/>
      </c>
      <c r="M167" s="108">
        <f>IFERROR(F167/J167,0)</f>
        <v/>
      </c>
      <c r="N167" s="103">
        <f>IFERROR(F167/I167,0)</f>
        <v/>
      </c>
      <c r="O167" s="106">
        <f>IFERROR((G167-F167)/F167,0)</f>
        <v/>
      </c>
      <c r="P167" s="106">
        <f>IFERROR(I167/H167,0)</f>
        <v/>
      </c>
      <c r="Q167" s="102" t="inlineStr">
        <is>
          <t>2025-05-14</t>
        </is>
      </c>
      <c r="R167" s="102" t="inlineStr">
        <is>
          <t>2025-07-20</t>
        </is>
      </c>
      <c r="S167" s="102" t="inlineStr">
        <is>
          <t>E-commerce</t>
        </is>
      </c>
      <c r="T167" s="102" t="inlineStr">
        <is>
          <t>Paused</t>
        </is>
      </c>
      <c r="U167" s="102" t="inlineStr">
        <is>
          <t>Event Promo campaign - E-commerce</t>
        </is>
      </c>
    </row>
    <row r="168" ht="15" customHeight="1" s="66">
      <c r="A168" s="94" t="inlineStr">
        <is>
          <t>CAMP-2025167</t>
        </is>
      </c>
      <c r="B168" s="94" t="inlineStr">
        <is>
          <t>Podcast Ads - Seasonal - Q4 Beta</t>
        </is>
      </c>
      <c r="C168" s="94" t="inlineStr">
        <is>
          <t>Podcast Ads</t>
        </is>
      </c>
      <c r="D168" s="94" t="inlineStr">
        <is>
          <t>Seasonal</t>
        </is>
      </c>
      <c r="E168" s="94" t="inlineStr">
        <is>
          <t>Q4</t>
        </is>
      </c>
      <c r="F168" s="95" t="n">
        <v>14000</v>
      </c>
      <c r="G168" s="95" t="n">
        <v>50451</v>
      </c>
      <c r="H168" s="97" t="n">
        <v>299</v>
      </c>
      <c r="I168" s="97" t="n">
        <v>45</v>
      </c>
      <c r="J168" s="97" t="n">
        <v>5755</v>
      </c>
      <c r="K168" s="97" t="n">
        <v>123817</v>
      </c>
      <c r="L168" s="99">
        <f>IFERROR(J168/K168,0)</f>
        <v/>
      </c>
      <c r="M168" s="100">
        <f>IFERROR(F168/J168,0)</f>
        <v/>
      </c>
      <c r="N168" s="95">
        <f>IFERROR(F168/I168,0)</f>
        <v/>
      </c>
      <c r="O168" s="98">
        <f>IFERROR((G168-F168)/F168,0)</f>
        <v/>
      </c>
      <c r="P168" s="98">
        <f>IFERROR(I168/H168,0)</f>
        <v/>
      </c>
      <c r="Q168" s="94" t="inlineStr">
        <is>
          <t>2025-11-24</t>
        </is>
      </c>
      <c r="R168" s="94" t="inlineStr">
        <is>
          <t>2026-02-10</t>
        </is>
      </c>
      <c r="S168" s="94" t="inlineStr">
        <is>
          <t>Tech Startups</t>
        </is>
      </c>
      <c r="T168" s="94" t="inlineStr">
        <is>
          <t>Paused</t>
        </is>
      </c>
      <c r="U168" s="94" t="inlineStr">
        <is>
          <t>Seasonal campaign - Tech Startups</t>
        </is>
      </c>
    </row>
    <row r="169" ht="15" customHeight="1" s="66">
      <c r="A169" s="102" t="inlineStr">
        <is>
          <t>CAMP-2025168</t>
        </is>
      </c>
      <c r="B169" s="102" t="inlineStr">
        <is>
          <t>Webinars - Upsell - Q4 Gamma</t>
        </is>
      </c>
      <c r="C169" s="102" t="inlineStr">
        <is>
          <t>Webinars</t>
        </is>
      </c>
      <c r="D169" s="102" t="inlineStr">
        <is>
          <t>Upsell</t>
        </is>
      </c>
      <c r="E169" s="102" t="inlineStr">
        <is>
          <t>Q4</t>
        </is>
      </c>
      <c r="F169" s="103" t="n">
        <v>77000</v>
      </c>
      <c r="G169" s="103" t="n">
        <v>291745</v>
      </c>
      <c r="H169" s="105" t="n">
        <v>1740</v>
      </c>
      <c r="I169" s="105" t="n">
        <v>203</v>
      </c>
      <c r="J169" s="105" t="n">
        <v>19142</v>
      </c>
      <c r="K169" s="105" t="n">
        <v>717897</v>
      </c>
      <c r="L169" s="107">
        <f>IFERROR(J169/K169,0)</f>
        <v/>
      </c>
      <c r="M169" s="108">
        <f>IFERROR(F169/J169,0)</f>
        <v/>
      </c>
      <c r="N169" s="103">
        <f>IFERROR(F169/I169,0)</f>
        <v/>
      </c>
      <c r="O169" s="106">
        <f>IFERROR((G169-F169)/F169,0)</f>
        <v/>
      </c>
      <c r="P169" s="106">
        <f>IFERROR(I169/H169,0)</f>
        <v/>
      </c>
      <c r="Q169" s="102" t="inlineStr">
        <is>
          <t>2025-08-13</t>
        </is>
      </c>
      <c r="R169" s="102" t="inlineStr">
        <is>
          <t>2025-10-23</t>
        </is>
      </c>
      <c r="S169" s="102" t="inlineStr">
        <is>
          <t>Healthcare</t>
        </is>
      </c>
      <c r="T169" s="102" t="inlineStr">
        <is>
          <t>Completed</t>
        </is>
      </c>
      <c r="U169" s="102" t="inlineStr">
        <is>
          <t>Upsell campaign - Healthcare</t>
        </is>
      </c>
    </row>
    <row r="170" ht="15" customHeight="1" s="66">
      <c r="A170" s="94" t="inlineStr">
        <is>
          <t>CAMP-2025169</t>
        </is>
      </c>
      <c r="B170" s="94" t="inlineStr">
        <is>
          <t>Google Ads - Cross-sell - Q1 Delta</t>
        </is>
      </c>
      <c r="C170" s="94" t="inlineStr">
        <is>
          <t>Google Ads</t>
        </is>
      </c>
      <c r="D170" s="94" t="inlineStr">
        <is>
          <t>Cross-sell</t>
        </is>
      </c>
      <c r="E170" s="94" t="inlineStr">
        <is>
          <t>Q1</t>
        </is>
      </c>
      <c r="F170" s="95" t="n">
        <v>3000</v>
      </c>
      <c r="G170" s="95" t="n">
        <v>8962</v>
      </c>
      <c r="H170" s="97" t="n">
        <v>105</v>
      </c>
      <c r="I170" s="97" t="n">
        <v>26</v>
      </c>
      <c r="J170" s="97" t="n">
        <v>1465</v>
      </c>
      <c r="K170" s="97" t="n">
        <v>38634</v>
      </c>
      <c r="L170" s="99">
        <f>IFERROR(J170/K170,0)</f>
        <v/>
      </c>
      <c r="M170" s="100">
        <f>IFERROR(F170/J170,0)</f>
        <v/>
      </c>
      <c r="N170" s="95">
        <f>IFERROR(F170/I170,0)</f>
        <v/>
      </c>
      <c r="O170" s="98">
        <f>IFERROR((G170-F170)/F170,0)</f>
        <v/>
      </c>
      <c r="P170" s="98">
        <f>IFERROR(I170/H170,0)</f>
        <v/>
      </c>
      <c r="Q170" s="94" t="inlineStr">
        <is>
          <t>2025-03-21</t>
        </is>
      </c>
      <c r="R170" s="94" t="inlineStr">
        <is>
          <t>2025-05-27</t>
        </is>
      </c>
      <c r="S170" s="94" t="inlineStr">
        <is>
          <t>Retail</t>
        </is>
      </c>
      <c r="T170" s="94" t="inlineStr">
        <is>
          <t>Completed</t>
        </is>
      </c>
      <c r="U170" s="94" t="inlineStr">
        <is>
          <t>Cross-sell campaign - Retail</t>
        </is>
      </c>
    </row>
    <row r="171" ht="15" customHeight="1" s="66">
      <c r="A171" s="102" t="inlineStr">
        <is>
          <t>CAMP-2025170</t>
        </is>
      </c>
      <c r="B171" s="102" t="inlineStr">
        <is>
          <t>Facebook Ads - Winback - Q1 Epsilon</t>
        </is>
      </c>
      <c r="C171" s="102" t="inlineStr">
        <is>
          <t>Facebook Ads</t>
        </is>
      </c>
      <c r="D171" s="102" t="inlineStr">
        <is>
          <t>Winback</t>
        </is>
      </c>
      <c r="E171" s="102" t="inlineStr">
        <is>
          <t>Q1</t>
        </is>
      </c>
      <c r="F171" s="103" t="n">
        <v>47000</v>
      </c>
      <c r="G171" s="103" t="n">
        <v>152671</v>
      </c>
      <c r="H171" s="105" t="n">
        <v>1298</v>
      </c>
      <c r="I171" s="105" t="n">
        <v>164</v>
      </c>
      <c r="J171" s="105" t="n">
        <v>19805</v>
      </c>
      <c r="K171" s="105" t="n">
        <v>249310</v>
      </c>
      <c r="L171" s="107">
        <f>IFERROR(J171/K171,0)</f>
        <v/>
      </c>
      <c r="M171" s="108">
        <f>IFERROR(F171/J171,0)</f>
        <v/>
      </c>
      <c r="N171" s="103">
        <f>IFERROR(F171/I171,0)</f>
        <v/>
      </c>
      <c r="O171" s="106">
        <f>IFERROR((G171-F171)/F171,0)</f>
        <v/>
      </c>
      <c r="P171" s="106">
        <f>IFERROR(I171/H171,0)</f>
        <v/>
      </c>
      <c r="Q171" s="102" t="inlineStr">
        <is>
          <t>2025-09-25</t>
        </is>
      </c>
      <c r="R171" s="102" t="inlineStr">
        <is>
          <t>2025-12-04</t>
        </is>
      </c>
      <c r="S171" s="102" t="inlineStr">
        <is>
          <t>SaaS Companies</t>
        </is>
      </c>
      <c r="T171" s="102" t="inlineStr">
        <is>
          <t>Active</t>
        </is>
      </c>
      <c r="U171" s="102" t="inlineStr">
        <is>
          <t>Winback campaign - SaaS Companies</t>
        </is>
      </c>
    </row>
    <row r="172" ht="15" customHeight="1" s="66">
      <c r="A172" s="94" t="inlineStr">
        <is>
          <t>CAMP-2025171</t>
        </is>
      </c>
      <c r="B172" s="94" t="inlineStr">
        <is>
          <t>LinkedIn Ads - Brand Awareness - Q1 Alpha</t>
        </is>
      </c>
      <c r="C172" s="94" t="inlineStr">
        <is>
          <t>LinkedIn Ads</t>
        </is>
      </c>
      <c r="D172" s="94" t="inlineStr">
        <is>
          <t>Brand Awareness</t>
        </is>
      </c>
      <c r="E172" s="94" t="inlineStr">
        <is>
          <t>Q1</t>
        </is>
      </c>
      <c r="F172" s="95" t="n">
        <v>67000</v>
      </c>
      <c r="G172" s="95" t="n">
        <v>164768</v>
      </c>
      <c r="H172" s="97" t="n">
        <v>1463</v>
      </c>
      <c r="I172" s="97" t="n">
        <v>180</v>
      </c>
      <c r="J172" s="97" t="n">
        <v>30845</v>
      </c>
      <c r="K172" s="97" t="n">
        <v>397699</v>
      </c>
      <c r="L172" s="99">
        <f>IFERROR(J172/K172,0)</f>
        <v/>
      </c>
      <c r="M172" s="100">
        <f>IFERROR(F172/J172,0)</f>
        <v/>
      </c>
      <c r="N172" s="95">
        <f>IFERROR(F172/I172,0)</f>
        <v/>
      </c>
      <c r="O172" s="98">
        <f>IFERROR((G172-F172)/F172,0)</f>
        <v/>
      </c>
      <c r="P172" s="98">
        <f>IFERROR(I172/H172,0)</f>
        <v/>
      </c>
      <c r="Q172" s="94" t="inlineStr">
        <is>
          <t>2025-01-19</t>
        </is>
      </c>
      <c r="R172" s="94" t="inlineStr">
        <is>
          <t>2025-03-12</t>
        </is>
      </c>
      <c r="S172" s="94" t="inlineStr">
        <is>
          <t>B2B Executives</t>
        </is>
      </c>
      <c r="T172" s="94" t="inlineStr">
        <is>
          <t>Completed</t>
        </is>
      </c>
      <c r="U172" s="94" t="inlineStr">
        <is>
          <t>Brand Awareness campaign - B2B Executives</t>
        </is>
      </c>
    </row>
    <row r="173" ht="15" customHeight="1" s="66">
      <c r="A173" s="102" t="inlineStr">
        <is>
          <t>CAMP-2025172</t>
        </is>
      </c>
      <c r="B173" s="102" t="inlineStr">
        <is>
          <t>Email Marketing - Lead Gen - Q2 Beta</t>
        </is>
      </c>
      <c r="C173" s="102" t="inlineStr">
        <is>
          <t>Email Marketing</t>
        </is>
      </c>
      <c r="D173" s="102" t="inlineStr">
        <is>
          <t>Lead Gen</t>
        </is>
      </c>
      <c r="E173" s="102" t="inlineStr">
        <is>
          <t>Q2</t>
        </is>
      </c>
      <c r="F173" s="103" t="n">
        <v>35000</v>
      </c>
      <c r="G173" s="103" t="n">
        <v>68401</v>
      </c>
      <c r="H173" s="105" t="n">
        <v>1349</v>
      </c>
      <c r="I173" s="105" t="n">
        <v>243</v>
      </c>
      <c r="J173" s="105" t="n">
        <v>0</v>
      </c>
      <c r="K173" s="105" t="n">
        <v>0</v>
      </c>
      <c r="L173" s="107">
        <f>IFERROR(J173/K173,0)</f>
        <v/>
      </c>
      <c r="M173" s="108">
        <f>IFERROR(F173/J173,0)</f>
        <v/>
      </c>
      <c r="N173" s="103">
        <f>IFERROR(F173/I173,0)</f>
        <v/>
      </c>
      <c r="O173" s="106">
        <f>IFERROR((G173-F173)/F173,0)</f>
        <v/>
      </c>
      <c r="P173" s="106">
        <f>IFERROR(I173/H173,0)</f>
        <v/>
      </c>
      <c r="Q173" s="102" t="inlineStr">
        <is>
          <t>2025-01-09</t>
        </is>
      </c>
      <c r="R173" s="102" t="inlineStr">
        <is>
          <t>2025-02-02</t>
        </is>
      </c>
      <c r="S173" s="102" t="inlineStr">
        <is>
          <t>SMB Owners</t>
        </is>
      </c>
      <c r="T173" s="102" t="inlineStr">
        <is>
          <t>Paused</t>
        </is>
      </c>
      <c r="U173" s="102" t="inlineStr">
        <is>
          <t>Lead Gen campaign - SMB Owners</t>
        </is>
      </c>
    </row>
    <row r="174" ht="15" customHeight="1" s="66">
      <c r="A174" s="94" t="inlineStr">
        <is>
          <t>CAMP-2025173</t>
        </is>
      </c>
      <c r="B174" s="94" t="inlineStr">
        <is>
          <t>SEO/Organic - Retargeting - Q2 Gamma</t>
        </is>
      </c>
      <c r="C174" s="94" t="inlineStr">
        <is>
          <t>SEO/Organic</t>
        </is>
      </c>
      <c r="D174" s="94" t="inlineStr">
        <is>
          <t>Retargeting</t>
        </is>
      </c>
      <c r="E174" s="94" t="inlineStr">
        <is>
          <t>Q2</t>
        </is>
      </c>
      <c r="F174" s="95" t="n">
        <v>23000</v>
      </c>
      <c r="G174" s="95" t="n">
        <v>43009</v>
      </c>
      <c r="H174" s="97" t="n">
        <v>454</v>
      </c>
      <c r="I174" s="97" t="n">
        <v>61</v>
      </c>
      <c r="J174" s="97" t="n">
        <v>0</v>
      </c>
      <c r="K174" s="97" t="n">
        <v>0</v>
      </c>
      <c r="L174" s="99">
        <f>IFERROR(J174/K174,0)</f>
        <v/>
      </c>
      <c r="M174" s="100">
        <f>IFERROR(F174/J174,0)</f>
        <v/>
      </c>
      <c r="N174" s="95">
        <f>IFERROR(F174/I174,0)</f>
        <v/>
      </c>
      <c r="O174" s="98">
        <f>IFERROR((G174-F174)/F174,0)</f>
        <v/>
      </c>
      <c r="P174" s="98">
        <f>IFERROR(I174/H174,0)</f>
        <v/>
      </c>
      <c r="Q174" s="94" t="inlineStr">
        <is>
          <t>2025-02-07</t>
        </is>
      </c>
      <c r="R174" s="94" t="inlineStr">
        <is>
          <t>2025-04-27</t>
        </is>
      </c>
      <c r="S174" s="94" t="inlineStr">
        <is>
          <t>Enterprise IT</t>
        </is>
      </c>
      <c r="T174" s="94" t="inlineStr">
        <is>
          <t>Completed</t>
        </is>
      </c>
      <c r="U174" s="94" t="inlineStr">
        <is>
          <t>Retargeting campaign - Enterprise IT</t>
        </is>
      </c>
    </row>
    <row r="175" ht="15" customHeight="1" s="66">
      <c r="A175" s="102" t="inlineStr">
        <is>
          <t>CAMP-2025174</t>
        </is>
      </c>
      <c r="B175" s="102" t="inlineStr">
        <is>
          <t>Content Marketing - Product Launch - Q2 Delta</t>
        </is>
      </c>
      <c r="C175" s="102" t="inlineStr">
        <is>
          <t>Content Marketing</t>
        </is>
      </c>
      <c r="D175" s="102" t="inlineStr">
        <is>
          <t>Product Launch</t>
        </is>
      </c>
      <c r="E175" s="102" t="inlineStr">
        <is>
          <t>Q2</t>
        </is>
      </c>
      <c r="F175" s="103" t="n">
        <v>20000</v>
      </c>
      <c r="G175" s="103" t="n">
        <v>38617</v>
      </c>
      <c r="H175" s="105" t="n">
        <v>565</v>
      </c>
      <c r="I175" s="105" t="n">
        <v>96</v>
      </c>
      <c r="J175" s="105" t="n">
        <v>0</v>
      </c>
      <c r="K175" s="105" t="n">
        <v>0</v>
      </c>
      <c r="L175" s="107">
        <f>IFERROR(J175/K175,0)</f>
        <v/>
      </c>
      <c r="M175" s="108">
        <f>IFERROR(F175/J175,0)</f>
        <v/>
      </c>
      <c r="N175" s="103">
        <f>IFERROR(F175/I175,0)</f>
        <v/>
      </c>
      <c r="O175" s="106">
        <f>IFERROR((G175-F175)/F175,0)</f>
        <v/>
      </c>
      <c r="P175" s="106">
        <f>IFERROR(I175/H175,0)</f>
        <v/>
      </c>
      <c r="Q175" s="102" t="inlineStr">
        <is>
          <t>2025-02-02</t>
        </is>
      </c>
      <c r="R175" s="102" t="inlineStr">
        <is>
          <t>2025-04-16</t>
        </is>
      </c>
      <c r="S175" s="102" t="inlineStr">
        <is>
          <t>Marketing Leaders</t>
        </is>
      </c>
      <c r="T175" s="102" t="inlineStr">
        <is>
          <t>Completed</t>
        </is>
      </c>
      <c r="U175" s="102" t="inlineStr">
        <is>
          <t>Product Launch campaign - Marketing Leaders</t>
        </is>
      </c>
    </row>
    <row r="176" ht="15" customHeight="1" s="66">
      <c r="A176" s="94" t="inlineStr">
        <is>
          <t>CAMP-2025175</t>
        </is>
      </c>
      <c r="B176" s="94" t="inlineStr">
        <is>
          <t>Affiliate - Nurture - Q3 Epsilon</t>
        </is>
      </c>
      <c r="C176" s="94" t="inlineStr">
        <is>
          <t>Affiliate</t>
        </is>
      </c>
      <c r="D176" s="94" t="inlineStr">
        <is>
          <t>Nurture</t>
        </is>
      </c>
      <c r="E176" s="94" t="inlineStr">
        <is>
          <t>Q3</t>
        </is>
      </c>
      <c r="F176" s="95" t="n">
        <v>22000</v>
      </c>
      <c r="G176" s="95" t="n">
        <v>61594</v>
      </c>
      <c r="H176" s="97" t="n">
        <v>699</v>
      </c>
      <c r="I176" s="97" t="n">
        <v>121</v>
      </c>
      <c r="J176" s="97" t="n">
        <v>5456</v>
      </c>
      <c r="K176" s="97" t="n">
        <v>69005</v>
      </c>
      <c r="L176" s="99">
        <f>IFERROR(J176/K176,0)</f>
        <v/>
      </c>
      <c r="M176" s="100">
        <f>IFERROR(F176/J176,0)</f>
        <v/>
      </c>
      <c r="N176" s="95">
        <f>IFERROR(F176/I176,0)</f>
        <v/>
      </c>
      <c r="O176" s="98">
        <f>IFERROR((G176-F176)/F176,0)</f>
        <v/>
      </c>
      <c r="P176" s="98">
        <f>IFERROR(I176/H176,0)</f>
        <v/>
      </c>
      <c r="Q176" s="94" t="inlineStr">
        <is>
          <t>2025-08-22</t>
        </is>
      </c>
      <c r="R176" s="94" t="inlineStr">
        <is>
          <t>2025-10-11</t>
        </is>
      </c>
      <c r="S176" s="94" t="inlineStr">
        <is>
          <t>Finance Teams</t>
        </is>
      </c>
      <c r="T176" s="94" t="inlineStr">
        <is>
          <t>Active</t>
        </is>
      </c>
      <c r="U176" s="94" t="inlineStr">
        <is>
          <t>Nurture campaign - Finance Teams</t>
        </is>
      </c>
    </row>
    <row r="177" ht="15" customHeight="1" s="66">
      <c r="A177" s="102" t="inlineStr">
        <is>
          <t>CAMP-2025176</t>
        </is>
      </c>
      <c r="B177" s="102" t="inlineStr">
        <is>
          <t>Influencer - Event Promo - Q3 Alpha</t>
        </is>
      </c>
      <c r="C177" s="102" t="inlineStr">
        <is>
          <t>Influencer</t>
        </is>
      </c>
      <c r="D177" s="102" t="inlineStr">
        <is>
          <t>Event Promo</t>
        </is>
      </c>
      <c r="E177" s="102" t="inlineStr">
        <is>
          <t>Q3</t>
        </is>
      </c>
      <c r="F177" s="103" t="n">
        <v>60000</v>
      </c>
      <c r="G177" s="103" t="n">
        <v>215625</v>
      </c>
      <c r="H177" s="105" t="n">
        <v>3542</v>
      </c>
      <c r="I177" s="105" t="n">
        <v>354</v>
      </c>
      <c r="J177" s="105" t="n">
        <v>29967</v>
      </c>
      <c r="K177" s="105" t="n">
        <v>424896</v>
      </c>
      <c r="L177" s="107">
        <f>IFERROR(J177/K177,0)</f>
        <v/>
      </c>
      <c r="M177" s="108">
        <f>IFERROR(F177/J177,0)</f>
        <v/>
      </c>
      <c r="N177" s="103">
        <f>IFERROR(F177/I177,0)</f>
        <v/>
      </c>
      <c r="O177" s="106">
        <f>IFERROR((G177-F177)/F177,0)</f>
        <v/>
      </c>
      <c r="P177" s="106">
        <f>IFERROR(I177/H177,0)</f>
        <v/>
      </c>
      <c r="Q177" s="102" t="inlineStr">
        <is>
          <t>2025-07-07</t>
        </is>
      </c>
      <c r="R177" s="102" t="inlineStr">
        <is>
          <t>2025-08-26</t>
        </is>
      </c>
      <c r="S177" s="102" t="inlineStr">
        <is>
          <t>E-commerce</t>
        </is>
      </c>
      <c r="T177" s="102" t="inlineStr">
        <is>
          <t>Completed</t>
        </is>
      </c>
      <c r="U177" s="102" t="inlineStr">
        <is>
          <t>Event Promo campaign - E-commerce</t>
        </is>
      </c>
    </row>
    <row r="178" ht="15" customHeight="1" s="66">
      <c r="A178" s="94" t="inlineStr">
        <is>
          <t>CAMP-2025177</t>
        </is>
      </c>
      <c r="B178" s="94" t="inlineStr">
        <is>
          <t>YouTube Ads - Seasonal - Q3 Beta</t>
        </is>
      </c>
      <c r="C178" s="94" t="inlineStr">
        <is>
          <t>YouTube Ads</t>
        </is>
      </c>
      <c r="D178" s="94" t="inlineStr">
        <is>
          <t>Seasonal</t>
        </is>
      </c>
      <c r="E178" s="94" t="inlineStr">
        <is>
          <t>Q3</t>
        </is>
      </c>
      <c r="F178" s="95" t="n">
        <v>4000</v>
      </c>
      <c r="G178" s="95" t="n">
        <v>8503</v>
      </c>
      <c r="H178" s="97" t="n">
        <v>128</v>
      </c>
      <c r="I178" s="97" t="n">
        <v>29</v>
      </c>
      <c r="J178" s="97" t="n">
        <v>2991</v>
      </c>
      <c r="K178" s="97" t="n">
        <v>78075</v>
      </c>
      <c r="L178" s="99">
        <f>IFERROR(J178/K178,0)</f>
        <v/>
      </c>
      <c r="M178" s="100">
        <f>IFERROR(F178/J178,0)</f>
        <v/>
      </c>
      <c r="N178" s="95">
        <f>IFERROR(F178/I178,0)</f>
        <v/>
      </c>
      <c r="O178" s="98">
        <f>IFERROR((G178-F178)/F178,0)</f>
        <v/>
      </c>
      <c r="P178" s="98">
        <f>IFERROR(I178/H178,0)</f>
        <v/>
      </c>
      <c r="Q178" s="94" t="inlineStr">
        <is>
          <t>2025-08-12</t>
        </is>
      </c>
      <c r="R178" s="94" t="inlineStr">
        <is>
          <t>2025-11-10</t>
        </is>
      </c>
      <c r="S178" s="94" t="inlineStr">
        <is>
          <t>Tech Startups</t>
        </is>
      </c>
      <c r="T178" s="94" t="inlineStr">
        <is>
          <t>Completed</t>
        </is>
      </c>
      <c r="U178" s="94" t="inlineStr">
        <is>
          <t>Seasonal campaign - Tech Startups</t>
        </is>
      </c>
    </row>
    <row r="179" ht="15" customHeight="1" s="66">
      <c r="A179" s="102" t="inlineStr">
        <is>
          <t>CAMP-2025178</t>
        </is>
      </c>
      <c r="B179" s="102" t="inlineStr">
        <is>
          <t>Twitter/X Ads - Upsell - Q4 Gamma</t>
        </is>
      </c>
      <c r="C179" s="102" t="inlineStr">
        <is>
          <t>Twitter/X Ads</t>
        </is>
      </c>
      <c r="D179" s="102" t="inlineStr">
        <is>
          <t>Upsell</t>
        </is>
      </c>
      <c r="E179" s="102" t="inlineStr">
        <is>
          <t>Q4</t>
        </is>
      </c>
      <c r="F179" s="103" t="n">
        <v>37000</v>
      </c>
      <c r="G179" s="103" t="n">
        <v>145992</v>
      </c>
      <c r="H179" s="105" t="n">
        <v>791</v>
      </c>
      <c r="I179" s="105" t="n">
        <v>129</v>
      </c>
      <c r="J179" s="105" t="n">
        <v>9560</v>
      </c>
      <c r="K179" s="105" t="n">
        <v>492960</v>
      </c>
      <c r="L179" s="107">
        <f>IFERROR(J179/K179,0)</f>
        <v/>
      </c>
      <c r="M179" s="108">
        <f>IFERROR(F179/J179,0)</f>
        <v/>
      </c>
      <c r="N179" s="103">
        <f>IFERROR(F179/I179,0)</f>
        <v/>
      </c>
      <c r="O179" s="106">
        <f>IFERROR((G179-F179)/F179,0)</f>
        <v/>
      </c>
      <c r="P179" s="106">
        <f>IFERROR(I179/H179,0)</f>
        <v/>
      </c>
      <c r="Q179" s="102" t="inlineStr">
        <is>
          <t>2025-10-27</t>
        </is>
      </c>
      <c r="R179" s="102" t="inlineStr">
        <is>
          <t>2025-12-29</t>
        </is>
      </c>
      <c r="S179" s="102" t="inlineStr">
        <is>
          <t>Healthcare</t>
        </is>
      </c>
      <c r="T179" s="102" t="inlineStr">
        <is>
          <t>Active</t>
        </is>
      </c>
      <c r="U179" s="102" t="inlineStr">
        <is>
          <t>Upsell campaign - Healthcare</t>
        </is>
      </c>
    </row>
    <row r="180" ht="15" customHeight="1" s="66">
      <c r="A180" s="94" t="inlineStr">
        <is>
          <t>CAMP-2025179</t>
        </is>
      </c>
      <c r="B180" s="94" t="inlineStr">
        <is>
          <t>TikTok Ads - Cross-sell - Q4 Delta</t>
        </is>
      </c>
      <c r="C180" s="94" t="inlineStr">
        <is>
          <t>TikTok Ads</t>
        </is>
      </c>
      <c r="D180" s="94" t="inlineStr">
        <is>
          <t>Cross-sell</t>
        </is>
      </c>
      <c r="E180" s="94" t="inlineStr">
        <is>
          <t>Q4</t>
        </is>
      </c>
      <c r="F180" s="95" t="n">
        <v>9000</v>
      </c>
      <c r="G180" s="95" t="n">
        <v>32547</v>
      </c>
      <c r="H180" s="97" t="n">
        <v>587</v>
      </c>
      <c r="I180" s="97" t="n">
        <v>129</v>
      </c>
      <c r="J180" s="97" t="n">
        <v>2658</v>
      </c>
      <c r="K180" s="97" t="n">
        <v>131029</v>
      </c>
      <c r="L180" s="99">
        <f>IFERROR(J180/K180,0)</f>
        <v/>
      </c>
      <c r="M180" s="100">
        <f>IFERROR(F180/J180,0)</f>
        <v/>
      </c>
      <c r="N180" s="95">
        <f>IFERROR(F180/I180,0)</f>
        <v/>
      </c>
      <c r="O180" s="98">
        <f>IFERROR((G180-F180)/F180,0)</f>
        <v/>
      </c>
      <c r="P180" s="98">
        <f>IFERROR(I180/H180,0)</f>
        <v/>
      </c>
      <c r="Q180" s="94" t="inlineStr">
        <is>
          <t>2025-09-09</t>
        </is>
      </c>
      <c r="R180" s="94" t="inlineStr">
        <is>
          <t>2025-11-24</t>
        </is>
      </c>
      <c r="S180" s="94" t="inlineStr">
        <is>
          <t>Retail</t>
        </is>
      </c>
      <c r="T180" s="94" t="inlineStr">
        <is>
          <t>Paused</t>
        </is>
      </c>
      <c r="U180" s="94" t="inlineStr">
        <is>
          <t>Cross-sell campaign - Retail</t>
        </is>
      </c>
    </row>
    <row r="181" ht="15" customHeight="1" s="66">
      <c r="A181" s="102" t="inlineStr">
        <is>
          <t>CAMP-2025180</t>
        </is>
      </c>
      <c r="B181" s="102" t="inlineStr">
        <is>
          <t>Display/Banner - Winback - Q4 Epsilon</t>
        </is>
      </c>
      <c r="C181" s="102" t="inlineStr">
        <is>
          <t>Display/Banner</t>
        </is>
      </c>
      <c r="D181" s="102" t="inlineStr">
        <is>
          <t>Winback</t>
        </is>
      </c>
      <c r="E181" s="102" t="inlineStr">
        <is>
          <t>Q4</t>
        </is>
      </c>
      <c r="F181" s="103" t="n">
        <v>32000</v>
      </c>
      <c r="G181" s="103" t="n">
        <v>65903</v>
      </c>
      <c r="H181" s="105" t="n">
        <v>607</v>
      </c>
      <c r="I181" s="105" t="n">
        <v>66</v>
      </c>
      <c r="J181" s="105" t="n">
        <v>11287</v>
      </c>
      <c r="K181" s="105" t="n">
        <v>149444</v>
      </c>
      <c r="L181" s="107">
        <f>IFERROR(J181/K181,0)</f>
        <v/>
      </c>
      <c r="M181" s="108">
        <f>IFERROR(F181/J181,0)</f>
        <v/>
      </c>
      <c r="N181" s="103">
        <f>IFERROR(F181/I181,0)</f>
        <v/>
      </c>
      <c r="O181" s="106">
        <f>IFERROR((G181-F181)/F181,0)</f>
        <v/>
      </c>
      <c r="P181" s="106">
        <f>IFERROR(I181/H181,0)</f>
        <v/>
      </c>
      <c r="Q181" s="102" t="inlineStr">
        <is>
          <t>2025-07-25</t>
        </is>
      </c>
      <c r="R181" s="102" t="inlineStr">
        <is>
          <t>2025-09-13</t>
        </is>
      </c>
      <c r="S181" s="102" t="inlineStr">
        <is>
          <t>SaaS Companies</t>
        </is>
      </c>
      <c r="T181" s="102" t="inlineStr">
        <is>
          <t>Planning</t>
        </is>
      </c>
      <c r="U181" s="102" t="inlineStr">
        <is>
          <t>Winback campaign - SaaS Companies</t>
        </is>
      </c>
    </row>
    <row r="182" ht="15" customHeight="1" s="66">
      <c r="A182" s="94" t="inlineStr">
        <is>
          <t>CAMP-2025181</t>
        </is>
      </c>
      <c r="B182" s="94" t="inlineStr">
        <is>
          <t>Podcast Ads - Brand Awareness - Q1 Alpha</t>
        </is>
      </c>
      <c r="C182" s="94" t="inlineStr">
        <is>
          <t>Podcast Ads</t>
        </is>
      </c>
      <c r="D182" s="94" t="inlineStr">
        <is>
          <t>Brand Awareness</t>
        </is>
      </c>
      <c r="E182" s="94" t="inlineStr">
        <is>
          <t>Q1</t>
        </is>
      </c>
      <c r="F182" s="95" t="n">
        <v>62000</v>
      </c>
      <c r="G182" s="95" t="n">
        <v>167034</v>
      </c>
      <c r="H182" s="97" t="n">
        <v>1705</v>
      </c>
      <c r="I182" s="97" t="n">
        <v>151</v>
      </c>
      <c r="J182" s="97" t="n">
        <v>34522</v>
      </c>
      <c r="K182" s="97" t="n">
        <v>1264325</v>
      </c>
      <c r="L182" s="99">
        <f>IFERROR(J182/K182,0)</f>
        <v/>
      </c>
      <c r="M182" s="100">
        <f>IFERROR(F182/J182,0)</f>
        <v/>
      </c>
      <c r="N182" s="95">
        <f>IFERROR(F182/I182,0)</f>
        <v/>
      </c>
      <c r="O182" s="98">
        <f>IFERROR((G182-F182)/F182,0)</f>
        <v/>
      </c>
      <c r="P182" s="98">
        <f>IFERROR(I182/H182,0)</f>
        <v/>
      </c>
      <c r="Q182" s="94" t="inlineStr">
        <is>
          <t>2025-09-13</t>
        </is>
      </c>
      <c r="R182" s="94" t="inlineStr">
        <is>
          <t>2025-11-18</t>
        </is>
      </c>
      <c r="S182" s="94" t="inlineStr">
        <is>
          <t>B2B Executives</t>
        </is>
      </c>
      <c r="T182" s="94" t="inlineStr">
        <is>
          <t>Completed</t>
        </is>
      </c>
      <c r="U182" s="94" t="inlineStr">
        <is>
          <t>Brand Awareness campaign - B2B Executives</t>
        </is>
      </c>
    </row>
    <row r="183" ht="15" customHeight="1" s="66">
      <c r="A183" s="102" t="inlineStr">
        <is>
          <t>CAMP-2025182</t>
        </is>
      </c>
      <c r="B183" s="102" t="inlineStr">
        <is>
          <t>Webinars - Lead Gen - Q1 Beta</t>
        </is>
      </c>
      <c r="C183" s="102" t="inlineStr">
        <is>
          <t>Webinars</t>
        </is>
      </c>
      <c r="D183" s="102" t="inlineStr">
        <is>
          <t>Lead Gen</t>
        </is>
      </c>
      <c r="E183" s="102" t="inlineStr">
        <is>
          <t>Q1</t>
        </is>
      </c>
      <c r="F183" s="103" t="n">
        <v>70000</v>
      </c>
      <c r="G183" s="103" t="n">
        <v>289388</v>
      </c>
      <c r="H183" s="105" t="n">
        <v>3318</v>
      </c>
      <c r="I183" s="105" t="n">
        <v>471</v>
      </c>
      <c r="J183" s="105" t="n">
        <v>16418</v>
      </c>
      <c r="K183" s="105" t="n">
        <v>628841</v>
      </c>
      <c r="L183" s="107">
        <f>IFERROR(J183/K183,0)</f>
        <v/>
      </c>
      <c r="M183" s="108">
        <f>IFERROR(F183/J183,0)</f>
        <v/>
      </c>
      <c r="N183" s="103">
        <f>IFERROR(F183/I183,0)</f>
        <v/>
      </c>
      <c r="O183" s="106">
        <f>IFERROR((G183-F183)/F183,0)</f>
        <v/>
      </c>
      <c r="P183" s="106">
        <f>IFERROR(I183/H183,0)</f>
        <v/>
      </c>
      <c r="Q183" s="102" t="inlineStr">
        <is>
          <t>2025-05-26</t>
        </is>
      </c>
      <c r="R183" s="102" t="inlineStr">
        <is>
          <t>2025-08-14</t>
        </is>
      </c>
      <c r="S183" s="102" t="inlineStr">
        <is>
          <t>SMB Owners</t>
        </is>
      </c>
      <c r="T183" s="102" t="inlineStr">
        <is>
          <t>Completed</t>
        </is>
      </c>
      <c r="U183" s="102" t="inlineStr">
        <is>
          <t>Lead Gen campaign - SMB Owners</t>
        </is>
      </c>
    </row>
    <row r="184" ht="15" customHeight="1" s="66">
      <c r="A184" s="94" t="inlineStr">
        <is>
          <t>CAMP-2025183</t>
        </is>
      </c>
      <c r="B184" s="94" t="inlineStr">
        <is>
          <t>Google Ads - Retargeting - Q1 Gamma</t>
        </is>
      </c>
      <c r="C184" s="94" t="inlineStr">
        <is>
          <t>Google Ads</t>
        </is>
      </c>
      <c r="D184" s="94" t="inlineStr">
        <is>
          <t>Retargeting</t>
        </is>
      </c>
      <c r="E184" s="94" t="inlineStr">
        <is>
          <t>Q1</t>
        </is>
      </c>
      <c r="F184" s="95" t="n">
        <v>78000</v>
      </c>
      <c r="G184" s="95" t="n">
        <v>190654</v>
      </c>
      <c r="H184" s="97" t="n">
        <v>2083</v>
      </c>
      <c r="I184" s="97" t="n">
        <v>423</v>
      </c>
      <c r="J184" s="97" t="n">
        <v>19350</v>
      </c>
      <c r="K184" s="97" t="n">
        <v>303675</v>
      </c>
      <c r="L184" s="99">
        <f>IFERROR(J184/K184,0)</f>
        <v/>
      </c>
      <c r="M184" s="100">
        <f>IFERROR(F184/J184,0)</f>
        <v/>
      </c>
      <c r="N184" s="95">
        <f>IFERROR(F184/I184,0)</f>
        <v/>
      </c>
      <c r="O184" s="98">
        <f>IFERROR((G184-F184)/F184,0)</f>
        <v/>
      </c>
      <c r="P184" s="98">
        <f>IFERROR(I184/H184,0)</f>
        <v/>
      </c>
      <c r="Q184" s="94" t="inlineStr">
        <is>
          <t>2025-09-16</t>
        </is>
      </c>
      <c r="R184" s="94" t="inlineStr">
        <is>
          <t>2025-11-27</t>
        </is>
      </c>
      <c r="S184" s="94" t="inlineStr">
        <is>
          <t>Enterprise IT</t>
        </is>
      </c>
      <c r="T184" s="94" t="inlineStr">
        <is>
          <t>Active</t>
        </is>
      </c>
      <c r="U184" s="94" t="inlineStr">
        <is>
          <t>Retargeting campaign - Enterprise IT</t>
        </is>
      </c>
    </row>
    <row r="185" ht="15" customHeight="1" s="66">
      <c r="A185" s="102" t="inlineStr">
        <is>
          <t>CAMP-2025184</t>
        </is>
      </c>
      <c r="B185" s="102" t="inlineStr">
        <is>
          <t>Facebook Ads - Product Launch - Q2 Delta</t>
        </is>
      </c>
      <c r="C185" s="102" t="inlineStr">
        <is>
          <t>Facebook Ads</t>
        </is>
      </c>
      <c r="D185" s="102" t="inlineStr">
        <is>
          <t>Product Launch</t>
        </is>
      </c>
      <c r="E185" s="102" t="inlineStr">
        <is>
          <t>Q2</t>
        </is>
      </c>
      <c r="F185" s="103" t="n">
        <v>79000</v>
      </c>
      <c r="G185" s="103" t="n">
        <v>342983</v>
      </c>
      <c r="H185" s="105" t="n">
        <v>2437</v>
      </c>
      <c r="I185" s="105" t="n">
        <v>500</v>
      </c>
      <c r="J185" s="105" t="n">
        <v>42362</v>
      </c>
      <c r="K185" s="105" t="n">
        <v>899457</v>
      </c>
      <c r="L185" s="107">
        <f>IFERROR(J185/K185,0)</f>
        <v/>
      </c>
      <c r="M185" s="108">
        <f>IFERROR(F185/J185,0)</f>
        <v/>
      </c>
      <c r="N185" s="103">
        <f>IFERROR(F185/I185,0)</f>
        <v/>
      </c>
      <c r="O185" s="106">
        <f>IFERROR((G185-F185)/F185,0)</f>
        <v/>
      </c>
      <c r="P185" s="106">
        <f>IFERROR(I185/H185,0)</f>
        <v/>
      </c>
      <c r="Q185" s="102" t="inlineStr">
        <is>
          <t>2025-03-06</t>
        </is>
      </c>
      <c r="R185" s="102" t="inlineStr">
        <is>
          <t>2025-05-17</t>
        </is>
      </c>
      <c r="S185" s="102" t="inlineStr">
        <is>
          <t>Marketing Leaders</t>
        </is>
      </c>
      <c r="T185" s="102" t="inlineStr">
        <is>
          <t>Paused</t>
        </is>
      </c>
      <c r="U185" s="102" t="inlineStr">
        <is>
          <t>Product Launch campaign - Marketing Leaders</t>
        </is>
      </c>
    </row>
    <row r="186" ht="15" customHeight="1" s="66">
      <c r="A186" s="94" t="inlineStr">
        <is>
          <t>CAMP-2025185</t>
        </is>
      </c>
      <c r="B186" s="94" t="inlineStr">
        <is>
          <t>LinkedIn Ads - Nurture - Q2 Epsilon</t>
        </is>
      </c>
      <c r="C186" s="94" t="inlineStr">
        <is>
          <t>LinkedIn Ads</t>
        </is>
      </c>
      <c r="D186" s="94" t="inlineStr">
        <is>
          <t>Nurture</t>
        </is>
      </c>
      <c r="E186" s="94" t="inlineStr">
        <is>
          <t>Q2</t>
        </is>
      </c>
      <c r="F186" s="95" t="n">
        <v>13000</v>
      </c>
      <c r="G186" s="95" t="n">
        <v>36477</v>
      </c>
      <c r="H186" s="97" t="n">
        <v>232</v>
      </c>
      <c r="I186" s="97" t="n">
        <v>50</v>
      </c>
      <c r="J186" s="97" t="n">
        <v>3641</v>
      </c>
      <c r="K186" s="97" t="n">
        <v>152317</v>
      </c>
      <c r="L186" s="99">
        <f>IFERROR(J186/K186,0)</f>
        <v/>
      </c>
      <c r="M186" s="100">
        <f>IFERROR(F186/J186,0)</f>
        <v/>
      </c>
      <c r="N186" s="95">
        <f>IFERROR(F186/I186,0)</f>
        <v/>
      </c>
      <c r="O186" s="98">
        <f>IFERROR((G186-F186)/F186,0)</f>
        <v/>
      </c>
      <c r="P186" s="98">
        <f>IFERROR(I186/H186,0)</f>
        <v/>
      </c>
      <c r="Q186" s="94" t="inlineStr">
        <is>
          <t>2025-09-19</t>
        </is>
      </c>
      <c r="R186" s="94" t="inlineStr">
        <is>
          <t>2025-10-07</t>
        </is>
      </c>
      <c r="S186" s="94" t="inlineStr">
        <is>
          <t>Finance Teams</t>
        </is>
      </c>
      <c r="T186" s="94" t="inlineStr">
        <is>
          <t>Completed</t>
        </is>
      </c>
      <c r="U186" s="94" t="inlineStr">
        <is>
          <t>Nurture campaign - Finance Teams</t>
        </is>
      </c>
    </row>
    <row r="187" ht="15" customHeight="1" s="66">
      <c r="A187" s="102" t="inlineStr">
        <is>
          <t>CAMP-2025186</t>
        </is>
      </c>
      <c r="B187" s="102" t="inlineStr">
        <is>
          <t>Email Marketing - Event Promo - Q2 Alpha</t>
        </is>
      </c>
      <c r="C187" s="102" t="inlineStr">
        <is>
          <t>Email Marketing</t>
        </is>
      </c>
      <c r="D187" s="102" t="inlineStr">
        <is>
          <t>Event Promo</t>
        </is>
      </c>
      <c r="E187" s="102" t="inlineStr">
        <is>
          <t>Q2</t>
        </is>
      </c>
      <c r="F187" s="103" t="n">
        <v>23000</v>
      </c>
      <c r="G187" s="103" t="n">
        <v>76382</v>
      </c>
      <c r="H187" s="105" t="n">
        <v>772</v>
      </c>
      <c r="I187" s="105" t="n">
        <v>189</v>
      </c>
      <c r="J187" s="105" t="n">
        <v>0</v>
      </c>
      <c r="K187" s="105" t="n">
        <v>0</v>
      </c>
      <c r="L187" s="107">
        <f>IFERROR(J187/K187,0)</f>
        <v/>
      </c>
      <c r="M187" s="108">
        <f>IFERROR(F187/J187,0)</f>
        <v/>
      </c>
      <c r="N187" s="103">
        <f>IFERROR(F187/I187,0)</f>
        <v/>
      </c>
      <c r="O187" s="106">
        <f>IFERROR((G187-F187)/F187,0)</f>
        <v/>
      </c>
      <c r="P187" s="106">
        <f>IFERROR(I187/H187,0)</f>
        <v/>
      </c>
      <c r="Q187" s="102" t="inlineStr">
        <is>
          <t>2025-05-22</t>
        </is>
      </c>
      <c r="R187" s="102" t="inlineStr">
        <is>
          <t>2025-08-06</t>
        </is>
      </c>
      <c r="S187" s="102" t="inlineStr">
        <is>
          <t>E-commerce</t>
        </is>
      </c>
      <c r="T187" s="102" t="inlineStr">
        <is>
          <t>Completed</t>
        </is>
      </c>
      <c r="U187" s="102" t="inlineStr">
        <is>
          <t>Event Promo campaign - E-commerce</t>
        </is>
      </c>
    </row>
    <row r="188" ht="15" customHeight="1" s="66">
      <c r="A188" s="94" t="inlineStr">
        <is>
          <t>CAMP-2025187</t>
        </is>
      </c>
      <c r="B188" s="94" t="inlineStr">
        <is>
          <t>SEO/Organic - Seasonal - Q3 Beta</t>
        </is>
      </c>
      <c r="C188" s="94" t="inlineStr">
        <is>
          <t>SEO/Organic</t>
        </is>
      </c>
      <c r="D188" s="94" t="inlineStr">
        <is>
          <t>Seasonal</t>
        </is>
      </c>
      <c r="E188" s="94" t="inlineStr">
        <is>
          <t>Q3</t>
        </is>
      </c>
      <c r="F188" s="95" t="n">
        <v>43000</v>
      </c>
      <c r="G188" s="95" t="n">
        <v>142059</v>
      </c>
      <c r="H188" s="97" t="n">
        <v>1495</v>
      </c>
      <c r="I188" s="97" t="n">
        <v>254</v>
      </c>
      <c r="J188" s="97" t="n">
        <v>0</v>
      </c>
      <c r="K188" s="97" t="n">
        <v>0</v>
      </c>
      <c r="L188" s="99">
        <f>IFERROR(J188/K188,0)</f>
        <v/>
      </c>
      <c r="M188" s="100">
        <f>IFERROR(F188/J188,0)</f>
        <v/>
      </c>
      <c r="N188" s="95">
        <f>IFERROR(F188/I188,0)</f>
        <v/>
      </c>
      <c r="O188" s="98">
        <f>IFERROR((G188-F188)/F188,0)</f>
        <v/>
      </c>
      <c r="P188" s="98">
        <f>IFERROR(I188/H188,0)</f>
        <v/>
      </c>
      <c r="Q188" s="94" t="inlineStr">
        <is>
          <t>2025-05-31</t>
        </is>
      </c>
      <c r="R188" s="94" t="inlineStr">
        <is>
          <t>2025-08-16</t>
        </is>
      </c>
      <c r="S188" s="94" t="inlineStr">
        <is>
          <t>Tech Startups</t>
        </is>
      </c>
      <c r="T188" s="94" t="inlineStr">
        <is>
          <t>Planning</t>
        </is>
      </c>
      <c r="U188" s="94" t="inlineStr">
        <is>
          <t>Seasonal campaign - Tech Startups</t>
        </is>
      </c>
    </row>
    <row r="189" ht="15" customHeight="1" s="66">
      <c r="A189" s="102" t="inlineStr">
        <is>
          <t>CAMP-2025188</t>
        </is>
      </c>
      <c r="B189" s="102" t="inlineStr">
        <is>
          <t>Content Marketing - Upsell - Q3 Gamma</t>
        </is>
      </c>
      <c r="C189" s="102" t="inlineStr">
        <is>
          <t>Content Marketing</t>
        </is>
      </c>
      <c r="D189" s="102" t="inlineStr">
        <is>
          <t>Upsell</t>
        </is>
      </c>
      <c r="E189" s="102" t="inlineStr">
        <is>
          <t>Q3</t>
        </is>
      </c>
      <c r="F189" s="103" t="n">
        <v>35000</v>
      </c>
      <c r="G189" s="103" t="n">
        <v>53523</v>
      </c>
      <c r="H189" s="105" t="n">
        <v>1143</v>
      </c>
      <c r="I189" s="105" t="n">
        <v>122</v>
      </c>
      <c r="J189" s="105" t="n">
        <v>0</v>
      </c>
      <c r="K189" s="105" t="n">
        <v>0</v>
      </c>
      <c r="L189" s="107">
        <f>IFERROR(J189/K189,0)</f>
        <v/>
      </c>
      <c r="M189" s="108">
        <f>IFERROR(F189/J189,0)</f>
        <v/>
      </c>
      <c r="N189" s="103">
        <f>IFERROR(F189/I189,0)</f>
        <v/>
      </c>
      <c r="O189" s="106">
        <f>IFERROR((G189-F189)/F189,0)</f>
        <v/>
      </c>
      <c r="P189" s="106">
        <f>IFERROR(I189/H189,0)</f>
        <v/>
      </c>
      <c r="Q189" s="102" t="inlineStr">
        <is>
          <t>2025-08-22</t>
        </is>
      </c>
      <c r="R189" s="102" t="inlineStr">
        <is>
          <t>2025-09-26</t>
        </is>
      </c>
      <c r="S189" s="102" t="inlineStr">
        <is>
          <t>Healthcare</t>
        </is>
      </c>
      <c r="T189" s="102" t="inlineStr">
        <is>
          <t>Paused</t>
        </is>
      </c>
      <c r="U189" s="102" t="inlineStr">
        <is>
          <t>Upsell campaign - Healthcare</t>
        </is>
      </c>
    </row>
    <row r="190" ht="15" customHeight="1" s="66">
      <c r="A190" s="94" t="inlineStr">
        <is>
          <t>CAMP-2025189</t>
        </is>
      </c>
      <c r="B190" s="94" t="inlineStr">
        <is>
          <t>Affiliate - Cross-sell - Q3 Delta</t>
        </is>
      </c>
      <c r="C190" s="94" t="inlineStr">
        <is>
          <t>Affiliate</t>
        </is>
      </c>
      <c r="D190" s="94" t="inlineStr">
        <is>
          <t>Cross-sell</t>
        </is>
      </c>
      <c r="E190" s="94" t="inlineStr">
        <is>
          <t>Q3</t>
        </is>
      </c>
      <c r="F190" s="95" t="n">
        <v>49000</v>
      </c>
      <c r="G190" s="95" t="n">
        <v>86901</v>
      </c>
      <c r="H190" s="97" t="n">
        <v>1164</v>
      </c>
      <c r="I190" s="97" t="n">
        <v>177</v>
      </c>
      <c r="J190" s="97" t="n">
        <v>12189</v>
      </c>
      <c r="K190" s="97" t="n">
        <v>166137</v>
      </c>
      <c r="L190" s="99">
        <f>IFERROR(J190/K190,0)</f>
        <v/>
      </c>
      <c r="M190" s="100">
        <f>IFERROR(F190/J190,0)</f>
        <v/>
      </c>
      <c r="N190" s="95">
        <f>IFERROR(F190/I190,0)</f>
        <v/>
      </c>
      <c r="O190" s="98">
        <f>IFERROR((G190-F190)/F190,0)</f>
        <v/>
      </c>
      <c r="P190" s="98">
        <f>IFERROR(I190/H190,0)</f>
        <v/>
      </c>
      <c r="Q190" s="94" t="inlineStr">
        <is>
          <t>2025-11-04</t>
        </is>
      </c>
      <c r="R190" s="94" t="inlineStr">
        <is>
          <t>2026-01-24</t>
        </is>
      </c>
      <c r="S190" s="94" t="inlineStr">
        <is>
          <t>Retail</t>
        </is>
      </c>
      <c r="T190" s="94" t="inlineStr">
        <is>
          <t>Completed</t>
        </is>
      </c>
      <c r="U190" s="94" t="inlineStr">
        <is>
          <t>Cross-sell campaign - Retail</t>
        </is>
      </c>
    </row>
    <row r="191" ht="15" customHeight="1" s="66">
      <c r="A191" s="102" t="inlineStr">
        <is>
          <t>CAMP-2025190</t>
        </is>
      </c>
      <c r="B191" s="102" t="inlineStr">
        <is>
          <t>Influencer - Winback - Q4 Epsilon</t>
        </is>
      </c>
      <c r="C191" s="102" t="inlineStr">
        <is>
          <t>Influencer</t>
        </is>
      </c>
      <c r="D191" s="102" t="inlineStr">
        <is>
          <t>Winback</t>
        </is>
      </c>
      <c r="E191" s="102" t="inlineStr">
        <is>
          <t>Q4</t>
        </is>
      </c>
      <c r="F191" s="103" t="n">
        <v>21000</v>
      </c>
      <c r="G191" s="103" t="n">
        <v>33780</v>
      </c>
      <c r="H191" s="105" t="n">
        <v>1318</v>
      </c>
      <c r="I191" s="105" t="n">
        <v>203</v>
      </c>
      <c r="J191" s="105" t="n">
        <v>5677</v>
      </c>
      <c r="K191" s="105" t="n">
        <v>137034</v>
      </c>
      <c r="L191" s="107">
        <f>IFERROR(J191/K191,0)</f>
        <v/>
      </c>
      <c r="M191" s="108">
        <f>IFERROR(F191/J191,0)</f>
        <v/>
      </c>
      <c r="N191" s="103">
        <f>IFERROR(F191/I191,0)</f>
        <v/>
      </c>
      <c r="O191" s="106">
        <f>IFERROR((G191-F191)/F191,0)</f>
        <v/>
      </c>
      <c r="P191" s="106">
        <f>IFERROR(I191/H191,0)</f>
        <v/>
      </c>
      <c r="Q191" s="102" t="inlineStr">
        <is>
          <t>2025-11-01</t>
        </is>
      </c>
      <c r="R191" s="102" t="inlineStr">
        <is>
          <t>2026-01-15</t>
        </is>
      </c>
      <c r="S191" s="102" t="inlineStr">
        <is>
          <t>SaaS Companies</t>
        </is>
      </c>
      <c r="T191" s="102" t="inlineStr">
        <is>
          <t>Active</t>
        </is>
      </c>
      <c r="U191" s="102" t="inlineStr">
        <is>
          <t>Winback campaign - SaaS Companies</t>
        </is>
      </c>
    </row>
    <row r="192" ht="15" customHeight="1" s="66">
      <c r="A192" s="94" t="inlineStr">
        <is>
          <t>CAMP-2025191</t>
        </is>
      </c>
      <c r="B192" s="94" t="inlineStr">
        <is>
          <t>YouTube Ads - Brand Awareness - Q4 Alpha</t>
        </is>
      </c>
      <c r="C192" s="94" t="inlineStr">
        <is>
          <t>YouTube Ads</t>
        </is>
      </c>
      <c r="D192" s="94" t="inlineStr">
        <is>
          <t>Brand Awareness</t>
        </is>
      </c>
      <c r="E192" s="94" t="inlineStr">
        <is>
          <t>Q4</t>
        </is>
      </c>
      <c r="F192" s="95" t="n">
        <v>15000</v>
      </c>
      <c r="G192" s="95" t="n">
        <v>52444</v>
      </c>
      <c r="H192" s="97" t="n">
        <v>369</v>
      </c>
      <c r="I192" s="97" t="n">
        <v>91</v>
      </c>
      <c r="J192" s="97" t="n">
        <v>4180</v>
      </c>
      <c r="K192" s="97" t="n">
        <v>71918</v>
      </c>
      <c r="L192" s="99">
        <f>IFERROR(J192/K192,0)</f>
        <v/>
      </c>
      <c r="M192" s="100">
        <f>IFERROR(F192/J192,0)</f>
        <v/>
      </c>
      <c r="N192" s="95">
        <f>IFERROR(F192/I192,0)</f>
        <v/>
      </c>
      <c r="O192" s="98">
        <f>IFERROR((G192-F192)/F192,0)</f>
        <v/>
      </c>
      <c r="P192" s="98">
        <f>IFERROR(I192/H192,0)</f>
        <v/>
      </c>
      <c r="Q192" s="94" t="inlineStr">
        <is>
          <t>2025-09-26</t>
        </is>
      </c>
      <c r="R192" s="94" t="inlineStr">
        <is>
          <t>2025-10-17</t>
        </is>
      </c>
      <c r="S192" s="94" t="inlineStr">
        <is>
          <t>B2B Executives</t>
        </is>
      </c>
      <c r="T192" s="94" t="inlineStr">
        <is>
          <t>Active</t>
        </is>
      </c>
      <c r="U192" s="94" t="inlineStr">
        <is>
          <t>Brand Awareness campaign - B2B Executives</t>
        </is>
      </c>
    </row>
    <row r="193" ht="15" customHeight="1" s="66">
      <c r="A193" s="102" t="inlineStr">
        <is>
          <t>CAMP-2025192</t>
        </is>
      </c>
      <c r="B193" s="102" t="inlineStr">
        <is>
          <t>Twitter/X Ads - Lead Gen - Q4 Beta</t>
        </is>
      </c>
      <c r="C193" s="102" t="inlineStr">
        <is>
          <t>Twitter/X Ads</t>
        </is>
      </c>
      <c r="D193" s="102" t="inlineStr">
        <is>
          <t>Lead Gen</t>
        </is>
      </c>
      <c r="E193" s="102" t="inlineStr">
        <is>
          <t>Q4</t>
        </is>
      </c>
      <c r="F193" s="103" t="n">
        <v>52000</v>
      </c>
      <c r="G193" s="103" t="n">
        <v>225635</v>
      </c>
      <c r="H193" s="105" t="n">
        <v>3419</v>
      </c>
      <c r="I193" s="105" t="n">
        <v>483</v>
      </c>
      <c r="J193" s="105" t="n">
        <v>14156</v>
      </c>
      <c r="K193" s="105" t="n">
        <v>356767</v>
      </c>
      <c r="L193" s="107">
        <f>IFERROR(J193/K193,0)</f>
        <v/>
      </c>
      <c r="M193" s="108">
        <f>IFERROR(F193/J193,0)</f>
        <v/>
      </c>
      <c r="N193" s="103">
        <f>IFERROR(F193/I193,0)</f>
        <v/>
      </c>
      <c r="O193" s="106">
        <f>IFERROR((G193-F193)/F193,0)</f>
        <v/>
      </c>
      <c r="P193" s="106">
        <f>IFERROR(I193/H193,0)</f>
        <v/>
      </c>
      <c r="Q193" s="102" t="inlineStr">
        <is>
          <t>2025-06-13</t>
        </is>
      </c>
      <c r="R193" s="102" t="inlineStr">
        <is>
          <t>2025-08-10</t>
        </is>
      </c>
      <c r="S193" s="102" t="inlineStr">
        <is>
          <t>SMB Owners</t>
        </is>
      </c>
      <c r="T193" s="102" t="inlineStr">
        <is>
          <t>Paused</t>
        </is>
      </c>
      <c r="U193" s="102" t="inlineStr">
        <is>
          <t>Lead Gen campaign - SMB Owners</t>
        </is>
      </c>
    </row>
    <row r="194" ht="15" customHeight="1" s="66">
      <c r="A194" s="94" t="inlineStr">
        <is>
          <t>CAMP-2025193</t>
        </is>
      </c>
      <c r="B194" s="94" t="inlineStr">
        <is>
          <t>TikTok Ads - Retargeting - Q1 Gamma</t>
        </is>
      </c>
      <c r="C194" s="94" t="inlineStr">
        <is>
          <t>TikTok Ads</t>
        </is>
      </c>
      <c r="D194" s="94" t="inlineStr">
        <is>
          <t>Retargeting</t>
        </is>
      </c>
      <c r="E194" s="94" t="inlineStr">
        <is>
          <t>Q1</t>
        </is>
      </c>
      <c r="F194" s="95" t="n">
        <v>58000</v>
      </c>
      <c r="G194" s="95" t="n">
        <v>207335</v>
      </c>
      <c r="H194" s="97" t="n">
        <v>2980</v>
      </c>
      <c r="I194" s="97" t="n">
        <v>355</v>
      </c>
      <c r="J194" s="97" t="n">
        <v>13215</v>
      </c>
      <c r="K194" s="97" t="n">
        <v>240408</v>
      </c>
      <c r="L194" s="99">
        <f>IFERROR(J194/K194,0)</f>
        <v/>
      </c>
      <c r="M194" s="100">
        <f>IFERROR(F194/J194,0)</f>
        <v/>
      </c>
      <c r="N194" s="95">
        <f>IFERROR(F194/I194,0)</f>
        <v/>
      </c>
      <c r="O194" s="98">
        <f>IFERROR((G194-F194)/F194,0)</f>
        <v/>
      </c>
      <c r="P194" s="98">
        <f>IFERROR(I194/H194,0)</f>
        <v/>
      </c>
      <c r="Q194" s="94" t="inlineStr">
        <is>
          <t>2025-09-18</t>
        </is>
      </c>
      <c r="R194" s="94" t="inlineStr">
        <is>
          <t>2025-10-02</t>
        </is>
      </c>
      <c r="S194" s="94" t="inlineStr">
        <is>
          <t>Enterprise IT</t>
        </is>
      </c>
      <c r="T194" s="94" t="inlineStr">
        <is>
          <t>Completed</t>
        </is>
      </c>
      <c r="U194" s="94" t="inlineStr">
        <is>
          <t>Retargeting campaign - Enterprise IT</t>
        </is>
      </c>
    </row>
    <row r="195" ht="15" customHeight="1" s="66">
      <c r="A195" s="102" t="inlineStr">
        <is>
          <t>CAMP-2025194</t>
        </is>
      </c>
      <c r="B195" s="102" t="inlineStr">
        <is>
          <t>Display/Banner - Product Launch - Q1 Delta</t>
        </is>
      </c>
      <c r="C195" s="102" t="inlineStr">
        <is>
          <t>Display/Banner</t>
        </is>
      </c>
      <c r="D195" s="102" t="inlineStr">
        <is>
          <t>Product Launch</t>
        </is>
      </c>
      <c r="E195" s="102" t="inlineStr">
        <is>
          <t>Q1</t>
        </is>
      </c>
      <c r="F195" s="103" t="n">
        <v>22000</v>
      </c>
      <c r="G195" s="103" t="n">
        <v>33202</v>
      </c>
      <c r="H195" s="105" t="n">
        <v>676</v>
      </c>
      <c r="I195" s="105" t="n">
        <v>148</v>
      </c>
      <c r="J195" s="105" t="n">
        <v>5374</v>
      </c>
      <c r="K195" s="105" t="n">
        <v>85869</v>
      </c>
      <c r="L195" s="107">
        <f>IFERROR(J195/K195,0)</f>
        <v/>
      </c>
      <c r="M195" s="108">
        <f>IFERROR(F195/J195,0)</f>
        <v/>
      </c>
      <c r="N195" s="103">
        <f>IFERROR(F195/I195,0)</f>
        <v/>
      </c>
      <c r="O195" s="106">
        <f>IFERROR((G195-F195)/F195,0)</f>
        <v/>
      </c>
      <c r="P195" s="106">
        <f>IFERROR(I195/H195,0)</f>
        <v/>
      </c>
      <c r="Q195" s="102" t="inlineStr">
        <is>
          <t>2025-01-16</t>
        </is>
      </c>
      <c r="R195" s="102" t="inlineStr">
        <is>
          <t>2025-02-05</t>
        </is>
      </c>
      <c r="S195" s="102" t="inlineStr">
        <is>
          <t>Marketing Leaders</t>
        </is>
      </c>
      <c r="T195" s="102" t="inlineStr">
        <is>
          <t>Active</t>
        </is>
      </c>
      <c r="U195" s="102" t="inlineStr">
        <is>
          <t>Product Launch campaign - Marketing Leaders</t>
        </is>
      </c>
    </row>
    <row r="196" ht="15" customHeight="1" s="66">
      <c r="A196" s="94" t="inlineStr">
        <is>
          <t>CAMP-2025195</t>
        </is>
      </c>
      <c r="B196" s="94" t="inlineStr">
        <is>
          <t>Podcast Ads - Nurture - Q1 Epsilon</t>
        </is>
      </c>
      <c r="C196" s="94" t="inlineStr">
        <is>
          <t>Podcast Ads</t>
        </is>
      </c>
      <c r="D196" s="94" t="inlineStr">
        <is>
          <t>Nurture</t>
        </is>
      </c>
      <c r="E196" s="94" t="inlineStr">
        <is>
          <t>Q1</t>
        </is>
      </c>
      <c r="F196" s="95" t="n">
        <v>32000</v>
      </c>
      <c r="G196" s="95" t="n">
        <v>95502</v>
      </c>
      <c r="H196" s="97" t="n">
        <v>746</v>
      </c>
      <c r="I196" s="97" t="n">
        <v>147</v>
      </c>
      <c r="J196" s="97" t="n">
        <v>8582</v>
      </c>
      <c r="K196" s="97" t="n">
        <v>122188</v>
      </c>
      <c r="L196" s="99">
        <f>IFERROR(J196/K196,0)</f>
        <v/>
      </c>
      <c r="M196" s="100">
        <f>IFERROR(F196/J196,0)</f>
        <v/>
      </c>
      <c r="N196" s="95">
        <f>IFERROR(F196/I196,0)</f>
        <v/>
      </c>
      <c r="O196" s="98">
        <f>IFERROR((G196-F196)/F196,0)</f>
        <v/>
      </c>
      <c r="P196" s="98">
        <f>IFERROR(I196/H196,0)</f>
        <v/>
      </c>
      <c r="Q196" s="94" t="inlineStr">
        <is>
          <t>2025-03-23</t>
        </is>
      </c>
      <c r="R196" s="94" t="inlineStr">
        <is>
          <t>2025-05-21</t>
        </is>
      </c>
      <c r="S196" s="94" t="inlineStr">
        <is>
          <t>Finance Teams</t>
        </is>
      </c>
      <c r="T196" s="94" t="inlineStr">
        <is>
          <t>Completed</t>
        </is>
      </c>
      <c r="U196" s="94" t="inlineStr">
        <is>
          <t>Nurture campaign - Finance Teams</t>
        </is>
      </c>
    </row>
    <row r="197" ht="15" customHeight="1" s="66">
      <c r="A197" s="102" t="inlineStr">
        <is>
          <t>CAMP-2025196</t>
        </is>
      </c>
      <c r="B197" s="102" t="inlineStr">
        <is>
          <t>Webinars - Event Promo - Q2 Alpha</t>
        </is>
      </c>
      <c r="C197" s="102" t="inlineStr">
        <is>
          <t>Webinars</t>
        </is>
      </c>
      <c r="D197" s="102" t="inlineStr">
        <is>
          <t>Event Promo</t>
        </is>
      </c>
      <c r="E197" s="102" t="inlineStr">
        <is>
          <t>Q2</t>
        </is>
      </c>
      <c r="F197" s="103" t="n">
        <v>3000</v>
      </c>
      <c r="G197" s="103" t="n">
        <v>12644</v>
      </c>
      <c r="H197" s="105" t="n">
        <v>110</v>
      </c>
      <c r="I197" s="105" t="n">
        <v>12</v>
      </c>
      <c r="J197" s="105" t="n">
        <v>753</v>
      </c>
      <c r="K197" s="105" t="n">
        <v>40259</v>
      </c>
      <c r="L197" s="107">
        <f>IFERROR(J197/K197,0)</f>
        <v/>
      </c>
      <c r="M197" s="108">
        <f>IFERROR(F197/J197,0)</f>
        <v/>
      </c>
      <c r="N197" s="103">
        <f>IFERROR(F197/I197,0)</f>
        <v/>
      </c>
      <c r="O197" s="106">
        <f>IFERROR((G197-F197)/F197,0)</f>
        <v/>
      </c>
      <c r="P197" s="106">
        <f>IFERROR(I197/H197,0)</f>
        <v/>
      </c>
      <c r="Q197" s="102" t="inlineStr">
        <is>
          <t>2025-04-16</t>
        </is>
      </c>
      <c r="R197" s="102" t="inlineStr">
        <is>
          <t>2025-07-09</t>
        </is>
      </c>
      <c r="S197" s="102" t="inlineStr">
        <is>
          <t>E-commerce</t>
        </is>
      </c>
      <c r="T197" s="102" t="inlineStr">
        <is>
          <t>Planning</t>
        </is>
      </c>
      <c r="U197" s="102" t="inlineStr">
        <is>
          <t>Event Promo campaign - E-commerce</t>
        </is>
      </c>
    </row>
    <row r="198" ht="15" customHeight="1" s="66">
      <c r="A198" s="94" t="inlineStr">
        <is>
          <t>CAMP-2025197</t>
        </is>
      </c>
      <c r="B198" s="94" t="inlineStr">
        <is>
          <t>Google Ads - Seasonal - Q2 Beta</t>
        </is>
      </c>
      <c r="C198" s="94" t="inlineStr">
        <is>
          <t>Google Ads</t>
        </is>
      </c>
      <c r="D198" s="94" t="inlineStr">
        <is>
          <t>Seasonal</t>
        </is>
      </c>
      <c r="E198" s="94" t="inlineStr">
        <is>
          <t>Q2</t>
        </is>
      </c>
      <c r="F198" s="95" t="n">
        <v>40000</v>
      </c>
      <c r="G198" s="95" t="n">
        <v>97950</v>
      </c>
      <c r="H198" s="97" t="n">
        <v>2286</v>
      </c>
      <c r="I198" s="97" t="n">
        <v>305</v>
      </c>
      <c r="J198" s="97" t="n">
        <v>14111</v>
      </c>
      <c r="K198" s="97" t="n">
        <v>790235</v>
      </c>
      <c r="L198" s="99">
        <f>IFERROR(J198/K198,0)</f>
        <v/>
      </c>
      <c r="M198" s="100">
        <f>IFERROR(F198/J198,0)</f>
        <v/>
      </c>
      <c r="N198" s="95">
        <f>IFERROR(F198/I198,0)</f>
        <v/>
      </c>
      <c r="O198" s="98">
        <f>IFERROR((G198-F198)/F198,0)</f>
        <v/>
      </c>
      <c r="P198" s="98">
        <f>IFERROR(I198/H198,0)</f>
        <v/>
      </c>
      <c r="Q198" s="94" t="inlineStr">
        <is>
          <t>2025-06-25</t>
        </is>
      </c>
      <c r="R198" s="94" t="inlineStr">
        <is>
          <t>2025-07-18</t>
        </is>
      </c>
      <c r="S198" s="94" t="inlineStr">
        <is>
          <t>Tech Startups</t>
        </is>
      </c>
      <c r="T198" s="94" t="inlineStr">
        <is>
          <t>Planning</t>
        </is>
      </c>
      <c r="U198" s="94" t="inlineStr">
        <is>
          <t>Seasonal campaign - Tech Startups</t>
        </is>
      </c>
    </row>
    <row r="199" ht="15" customHeight="1" s="66">
      <c r="A199" s="102" t="inlineStr">
        <is>
          <t>CAMP-2025198</t>
        </is>
      </c>
      <c r="B199" s="102" t="inlineStr">
        <is>
          <t>Facebook Ads - Upsell - Q2 Gamma</t>
        </is>
      </c>
      <c r="C199" s="102" t="inlineStr">
        <is>
          <t>Facebook Ads</t>
        </is>
      </c>
      <c r="D199" s="102" t="inlineStr">
        <is>
          <t>Upsell</t>
        </is>
      </c>
      <c r="E199" s="102" t="inlineStr">
        <is>
          <t>Q2</t>
        </is>
      </c>
      <c r="F199" s="103" t="n">
        <v>40000</v>
      </c>
      <c r="G199" s="103" t="n">
        <v>90803</v>
      </c>
      <c r="H199" s="105" t="n">
        <v>668</v>
      </c>
      <c r="I199" s="105" t="n">
        <v>149</v>
      </c>
      <c r="J199" s="105" t="n">
        <v>15338</v>
      </c>
      <c r="K199" s="105" t="n">
        <v>490395</v>
      </c>
      <c r="L199" s="107">
        <f>IFERROR(J199/K199,0)</f>
        <v/>
      </c>
      <c r="M199" s="108">
        <f>IFERROR(F199/J199,0)</f>
        <v/>
      </c>
      <c r="N199" s="103">
        <f>IFERROR(F199/I199,0)</f>
        <v/>
      </c>
      <c r="O199" s="106">
        <f>IFERROR((G199-F199)/F199,0)</f>
        <v/>
      </c>
      <c r="P199" s="106">
        <f>IFERROR(I199/H199,0)</f>
        <v/>
      </c>
      <c r="Q199" s="102" t="inlineStr">
        <is>
          <t>2025-10-02</t>
        </is>
      </c>
      <c r="R199" s="102" t="inlineStr">
        <is>
          <t>2025-12-24</t>
        </is>
      </c>
      <c r="S199" s="102" t="inlineStr">
        <is>
          <t>Healthcare</t>
        </is>
      </c>
      <c r="T199" s="102" t="inlineStr">
        <is>
          <t>Planning</t>
        </is>
      </c>
      <c r="U199" s="102" t="inlineStr">
        <is>
          <t>Upsell campaign - Healthcare</t>
        </is>
      </c>
    </row>
    <row r="200" ht="15" customHeight="1" s="66">
      <c r="A200" s="94" t="inlineStr">
        <is>
          <t>CAMP-2025199</t>
        </is>
      </c>
      <c r="B200" s="94" t="inlineStr">
        <is>
          <t>LinkedIn Ads - Cross-sell - Q3 Delta</t>
        </is>
      </c>
      <c r="C200" s="94" t="inlineStr">
        <is>
          <t>LinkedIn Ads</t>
        </is>
      </c>
      <c r="D200" s="94" t="inlineStr">
        <is>
          <t>Cross-sell</t>
        </is>
      </c>
      <c r="E200" s="94" t="inlineStr">
        <is>
          <t>Q3</t>
        </is>
      </c>
      <c r="F200" s="95" t="n">
        <v>11000</v>
      </c>
      <c r="G200" s="95" t="n">
        <v>33303</v>
      </c>
      <c r="H200" s="97" t="n">
        <v>486</v>
      </c>
      <c r="I200" s="97" t="n">
        <v>62</v>
      </c>
      <c r="J200" s="97" t="n">
        <v>2599</v>
      </c>
      <c r="K200" s="97" t="n">
        <v>119723</v>
      </c>
      <c r="L200" s="99">
        <f>IFERROR(J200/K200,0)</f>
        <v/>
      </c>
      <c r="M200" s="100">
        <f>IFERROR(F200/J200,0)</f>
        <v/>
      </c>
      <c r="N200" s="95">
        <f>IFERROR(F200/I200,0)</f>
        <v/>
      </c>
      <c r="O200" s="98">
        <f>IFERROR((G200-F200)/F200,0)</f>
        <v/>
      </c>
      <c r="P200" s="98">
        <f>IFERROR(I200/H200,0)</f>
        <v/>
      </c>
      <c r="Q200" s="94" t="inlineStr">
        <is>
          <t>2025-04-22</t>
        </is>
      </c>
      <c r="R200" s="94" t="inlineStr">
        <is>
          <t>2025-06-08</t>
        </is>
      </c>
      <c r="S200" s="94" t="inlineStr">
        <is>
          <t>Retail</t>
        </is>
      </c>
      <c r="T200" s="94" t="inlineStr">
        <is>
          <t>Active</t>
        </is>
      </c>
      <c r="U200" s="94" t="inlineStr">
        <is>
          <t>Cross-sell campaign - Retail</t>
        </is>
      </c>
    </row>
    <row r="201" ht="15" customHeight="1" s="66">
      <c r="A201" s="102" t="inlineStr">
        <is>
          <t>CAMP-2025200</t>
        </is>
      </c>
      <c r="B201" s="102" t="inlineStr">
        <is>
          <t>Email Marketing - Winback - Q3 Epsilon</t>
        </is>
      </c>
      <c r="C201" s="102" t="inlineStr">
        <is>
          <t>Email Marketing</t>
        </is>
      </c>
      <c r="D201" s="102" t="inlineStr">
        <is>
          <t>Winback</t>
        </is>
      </c>
      <c r="E201" s="102" t="inlineStr">
        <is>
          <t>Q3</t>
        </is>
      </c>
      <c r="F201" s="103" t="n">
        <v>12000</v>
      </c>
      <c r="G201" s="103" t="n">
        <v>24425</v>
      </c>
      <c r="H201" s="105" t="n">
        <v>788</v>
      </c>
      <c r="I201" s="105" t="n">
        <v>126</v>
      </c>
      <c r="J201" s="105" t="n">
        <v>0</v>
      </c>
      <c r="K201" s="105" t="n">
        <v>0</v>
      </c>
      <c r="L201" s="107">
        <f>IFERROR(J201/K201,0)</f>
        <v/>
      </c>
      <c r="M201" s="108">
        <f>IFERROR(F201/J201,0)</f>
        <v/>
      </c>
      <c r="N201" s="103">
        <f>IFERROR(F201/I201,0)</f>
        <v/>
      </c>
      <c r="O201" s="106">
        <f>IFERROR((G201-F201)/F201,0)</f>
        <v/>
      </c>
      <c r="P201" s="106">
        <f>IFERROR(I201/H201,0)</f>
        <v/>
      </c>
      <c r="Q201" s="102" t="inlineStr">
        <is>
          <t>2025-05-20</t>
        </is>
      </c>
      <c r="R201" s="102" t="inlineStr">
        <is>
          <t>2025-07-11</t>
        </is>
      </c>
      <c r="S201" s="102" t="inlineStr">
        <is>
          <t>SaaS Companies</t>
        </is>
      </c>
      <c r="T201" s="102" t="inlineStr">
        <is>
          <t>Completed</t>
        </is>
      </c>
      <c r="U201" s="102" t="inlineStr">
        <is>
          <t>Winback campaign - SaaS Companies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65" min="1" max="1"/>
    <col width="16" customWidth="1" style="65" min="2" max="2"/>
    <col width="15" customWidth="1" style="65" min="3" max="3"/>
    <col width="8" customWidth="1" style="65" min="4" max="4"/>
    <col width="10" customWidth="1" style="65" min="5" max="5"/>
    <col width="12" customWidth="1" style="65" min="6" max="6"/>
    <col width="13" customWidth="1" style="65" min="7" max="7"/>
    <col width="8" customWidth="1" style="65" min="8" max="8"/>
    <col width="11" customWidth="1" style="65" min="9" max="10"/>
    <col width="13" customWidth="1" style="65" min="11" max="11"/>
    <col width="14" customWidth="1" style="65" min="12" max="12"/>
  </cols>
  <sheetData>
    <row r="1" ht="27.75" customHeight="1" s="66">
      <c r="A1" s="119" t="inlineStr">
        <is>
          <t>SEO &amp; ORGANIC PERFORMANCE  |  Keyword &amp; Page Analytics</t>
        </is>
      </c>
    </row>
    <row r="2" ht="27.75" customHeight="1" s="66">
      <c r="A2" s="93" t="inlineStr">
        <is>
          <t>Keyword / Page</t>
        </is>
      </c>
      <c r="B2" s="93" t="inlineStr">
        <is>
          <t>Category</t>
        </is>
      </c>
      <c r="C2" s="93" t="inlineStr">
        <is>
          <t>Monthly Searches</t>
        </is>
      </c>
      <c r="D2" s="93" t="inlineStr">
        <is>
          <t>Rank</t>
        </is>
      </c>
      <c r="E2" s="93" t="inlineStr">
        <is>
          <t>Prev Rank</t>
        </is>
      </c>
      <c r="F2" s="93" t="inlineStr">
        <is>
          <t>Rank Change</t>
        </is>
      </c>
      <c r="G2" s="93" t="inlineStr">
        <is>
          <t>Organic Clicks</t>
        </is>
      </c>
      <c r="H2" s="93" t="inlineStr">
        <is>
          <t>CTR</t>
        </is>
      </c>
      <c r="I2" s="93" t="inlineStr">
        <is>
          <t>Bounce Rate</t>
        </is>
      </c>
      <c r="J2" s="93" t="inlineStr">
        <is>
          <t>Avg Time</t>
        </is>
      </c>
      <c r="K2" s="93" t="inlineStr">
        <is>
          <t>Conversions</t>
        </is>
      </c>
      <c r="L2" s="93" t="inlineStr">
        <is>
          <t>Revenue Value</t>
        </is>
      </c>
    </row>
    <row r="3" ht="15" customHeight="1" s="66">
      <c r="A3" s="94" t="inlineStr">
        <is>
          <t>marketing automation software</t>
        </is>
      </c>
      <c r="B3" s="94" t="inlineStr">
        <is>
          <t>PPC</t>
        </is>
      </c>
      <c r="C3" s="97" t="n">
        <v>800</v>
      </c>
      <c r="D3" s="97" t="n">
        <v>14</v>
      </c>
      <c r="E3" s="97" t="n">
        <v>7</v>
      </c>
      <c r="F3" s="120">
        <f>E3-D3</f>
        <v/>
      </c>
      <c r="G3" s="97" t="n">
        <v>8</v>
      </c>
      <c r="H3" s="98" t="n">
        <v>0.01</v>
      </c>
      <c r="I3" s="98" t="n">
        <v>0.443386185916936</v>
      </c>
      <c r="J3" s="121" t="n">
        <v>2.8</v>
      </c>
      <c r="K3" s="97" t="n">
        <v>0</v>
      </c>
      <c r="L3" s="95" t="n">
        <v>0</v>
      </c>
    </row>
    <row r="4" ht="15" customHeight="1" s="66">
      <c r="A4" s="102" t="inlineStr">
        <is>
          <t>CRM for small business</t>
        </is>
      </c>
      <c r="B4" s="102" t="inlineStr">
        <is>
          <t>CRM</t>
        </is>
      </c>
      <c r="C4" s="105" t="n">
        <v>3000</v>
      </c>
      <c r="D4" s="105" t="n">
        <v>20</v>
      </c>
      <c r="E4" s="105" t="n">
        <v>20</v>
      </c>
      <c r="F4" s="122">
        <f>E4-D4</f>
        <v/>
      </c>
      <c r="G4" s="105" t="n">
        <v>30</v>
      </c>
      <c r="H4" s="106" t="n">
        <v>0.01</v>
      </c>
      <c r="I4" s="106" t="n">
        <v>0.493463822705842</v>
      </c>
      <c r="J4" s="123" t="n">
        <v>5.6</v>
      </c>
      <c r="K4" s="105" t="n">
        <v>2</v>
      </c>
      <c r="L4" s="103" t="n">
        <v>2452</v>
      </c>
    </row>
    <row r="5" ht="15" customHeight="1" s="66">
      <c r="A5" s="94" t="inlineStr">
        <is>
          <t>email marketing tools</t>
        </is>
      </c>
      <c r="B5" s="94" t="inlineStr">
        <is>
          <t>Email</t>
        </is>
      </c>
      <c r="C5" s="97" t="n">
        <v>15000</v>
      </c>
      <c r="D5" s="97" t="n">
        <v>29</v>
      </c>
      <c r="E5" s="97" t="n">
        <v>37</v>
      </c>
      <c r="F5" s="120">
        <f>E5-D5</f>
        <v/>
      </c>
      <c r="G5" s="97" t="n">
        <v>150</v>
      </c>
      <c r="H5" s="98" t="n">
        <v>0.01</v>
      </c>
      <c r="I5" s="98" t="n">
        <v>0.481128196413954</v>
      </c>
      <c r="J5" s="121" t="n">
        <v>5.7</v>
      </c>
      <c r="K5" s="97" t="n">
        <v>9</v>
      </c>
      <c r="L5" s="95" t="n">
        <v>5985</v>
      </c>
    </row>
    <row r="6" ht="15" customHeight="1" s="66">
      <c r="A6" s="102" t="inlineStr">
        <is>
          <t>social media management</t>
        </is>
      </c>
      <c r="B6" s="102" t="inlineStr">
        <is>
          <t>Social</t>
        </is>
      </c>
      <c r="C6" s="105" t="n">
        <v>8000</v>
      </c>
      <c r="D6" s="105" t="n">
        <v>43</v>
      </c>
      <c r="E6" s="105" t="n">
        <v>42</v>
      </c>
      <c r="F6" s="122">
        <f>E6-D6</f>
        <v/>
      </c>
      <c r="G6" s="105" t="n">
        <v>80</v>
      </c>
      <c r="H6" s="106" t="n">
        <v>0.01</v>
      </c>
      <c r="I6" s="106" t="n">
        <v>0.441476265704047</v>
      </c>
      <c r="J6" s="123" t="n">
        <v>5.3</v>
      </c>
      <c r="K6" s="105" t="n">
        <v>5</v>
      </c>
      <c r="L6" s="103" t="n">
        <v>5985</v>
      </c>
    </row>
    <row r="7" ht="15" customHeight="1" s="66">
      <c r="A7" s="94" t="inlineStr">
        <is>
          <t>SEO audit tool</t>
        </is>
      </c>
      <c r="B7" s="94" t="inlineStr">
        <is>
          <t>SEO</t>
        </is>
      </c>
      <c r="C7" s="97" t="n">
        <v>3000</v>
      </c>
      <c r="D7" s="97" t="n">
        <v>16</v>
      </c>
      <c r="E7" s="97" t="n">
        <v>23</v>
      </c>
      <c r="F7" s="120">
        <f>E7-D7</f>
        <v/>
      </c>
      <c r="G7" s="97" t="n">
        <v>30</v>
      </c>
      <c r="H7" s="98" t="n">
        <v>0.01</v>
      </c>
      <c r="I7" s="98" t="n">
        <v>0.72092656363813</v>
      </c>
      <c r="J7" s="121" t="n">
        <v>2.7</v>
      </c>
      <c r="K7" s="97" t="n">
        <v>2</v>
      </c>
      <c r="L7" s="95" t="n">
        <v>1390</v>
      </c>
    </row>
    <row r="8" ht="15" customHeight="1" s="66">
      <c r="A8" s="102" t="inlineStr">
        <is>
          <t>content marketing strategy</t>
        </is>
      </c>
      <c r="B8" s="102" t="inlineStr">
        <is>
          <t>Content</t>
        </is>
      </c>
      <c r="C8" s="105" t="n">
        <v>5000</v>
      </c>
      <c r="D8" s="105" t="n">
        <v>28</v>
      </c>
      <c r="E8" s="105" t="n">
        <v>23</v>
      </c>
      <c r="F8" s="122">
        <f>E8-D8</f>
        <v/>
      </c>
      <c r="G8" s="105" t="n">
        <v>50</v>
      </c>
      <c r="H8" s="106" t="n">
        <v>0.01</v>
      </c>
      <c r="I8" s="106" t="n">
        <v>0.509131932708863</v>
      </c>
      <c r="J8" s="123" t="n">
        <v>3.7</v>
      </c>
      <c r="K8" s="105" t="n">
        <v>4</v>
      </c>
      <c r="L8" s="103" t="n">
        <v>4468</v>
      </c>
    </row>
    <row r="9" ht="15" customHeight="1" s="66">
      <c r="A9" s="94" t="inlineStr">
        <is>
          <t>digital marketing agency</t>
        </is>
      </c>
      <c r="B9" s="94" t="inlineStr">
        <is>
          <t>Agency</t>
        </is>
      </c>
      <c r="C9" s="97" t="n">
        <v>8000</v>
      </c>
      <c r="D9" s="97" t="n">
        <v>37</v>
      </c>
      <c r="E9" s="97" t="n">
        <v>43</v>
      </c>
      <c r="F9" s="120">
        <f>E9-D9</f>
        <v/>
      </c>
      <c r="G9" s="97" t="n">
        <v>80</v>
      </c>
      <c r="H9" s="98" t="n">
        <v>0.01</v>
      </c>
      <c r="I9" s="98" t="n">
        <v>0.383521102897431</v>
      </c>
      <c r="J9" s="121" t="n">
        <v>1.7</v>
      </c>
      <c r="K9" s="97" t="n">
        <v>6</v>
      </c>
      <c r="L9" s="95" t="n">
        <v>1476</v>
      </c>
    </row>
    <row r="10" ht="15" customHeight="1" s="66">
      <c r="A10" s="102" t="inlineStr">
        <is>
          <t>PPC management software</t>
        </is>
      </c>
      <c r="B10" s="102" t="inlineStr">
        <is>
          <t>PPC</t>
        </is>
      </c>
      <c r="C10" s="105" t="n">
        <v>1000</v>
      </c>
      <c r="D10" s="105" t="n">
        <v>17</v>
      </c>
      <c r="E10" s="105" t="n">
        <v>10</v>
      </c>
      <c r="F10" s="122">
        <f>E10-D10</f>
        <v/>
      </c>
      <c r="G10" s="105" t="n">
        <v>10</v>
      </c>
      <c r="H10" s="106" t="n">
        <v>0.01</v>
      </c>
      <c r="I10" s="106" t="n">
        <v>0.425363260536476</v>
      </c>
      <c r="J10" s="123" t="n">
        <v>3.5</v>
      </c>
      <c r="K10" s="105" t="n">
        <v>0</v>
      </c>
      <c r="L10" s="103" t="n">
        <v>0</v>
      </c>
    </row>
    <row r="11" ht="15" customHeight="1" s="66">
      <c r="A11" s="94" t="inlineStr">
        <is>
          <t>lead generation platform</t>
        </is>
      </c>
      <c r="B11" s="94" t="inlineStr">
        <is>
          <t>Lead Gen</t>
        </is>
      </c>
      <c r="C11" s="97" t="n">
        <v>1500</v>
      </c>
      <c r="D11" s="97" t="n">
        <v>38</v>
      </c>
      <c r="E11" s="97" t="n">
        <v>43</v>
      </c>
      <c r="F11" s="120">
        <f>E11-D11</f>
        <v/>
      </c>
      <c r="G11" s="97" t="n">
        <v>15</v>
      </c>
      <c r="H11" s="98" t="n">
        <v>0.01</v>
      </c>
      <c r="I11" s="98" t="n">
        <v>0.531831340581239</v>
      </c>
      <c r="J11" s="121" t="n">
        <v>1.4</v>
      </c>
      <c r="K11" s="97" t="n">
        <v>0</v>
      </c>
      <c r="L11" s="95" t="n">
        <v>0</v>
      </c>
    </row>
    <row r="12" ht="15" customHeight="1" s="66">
      <c r="A12" s="102" t="inlineStr">
        <is>
          <t>marketing analytics dashboard</t>
        </is>
      </c>
      <c r="B12" s="102" t="inlineStr">
        <is>
          <t>Analytics</t>
        </is>
      </c>
      <c r="C12" s="105" t="n">
        <v>500</v>
      </c>
      <c r="D12" s="105" t="n">
        <v>50</v>
      </c>
      <c r="E12" s="105" t="n">
        <v>51</v>
      </c>
      <c r="F12" s="122">
        <f>E12-D12</f>
        <v/>
      </c>
      <c r="G12" s="105" t="n">
        <v>5</v>
      </c>
      <c r="H12" s="106" t="n">
        <v>0.01</v>
      </c>
      <c r="I12" s="106" t="n">
        <v>0.643484079454599</v>
      </c>
      <c r="J12" s="123" t="n">
        <v>4.8</v>
      </c>
      <c r="K12" s="105" t="n">
        <v>0</v>
      </c>
      <c r="L12" s="103" t="n">
        <v>0</v>
      </c>
    </row>
    <row r="13" ht="15" customHeight="1" s="66">
      <c r="A13" s="94" t="inlineStr">
        <is>
          <t>customer data platform</t>
        </is>
      </c>
      <c r="B13" s="94" t="inlineStr">
        <is>
          <t>Data</t>
        </is>
      </c>
      <c r="C13" s="97" t="n">
        <v>800</v>
      </c>
      <c r="D13" s="97" t="n">
        <v>8</v>
      </c>
      <c r="E13" s="97" t="n">
        <v>3</v>
      </c>
      <c r="F13" s="120">
        <f>E13-D13</f>
        <v/>
      </c>
      <c r="G13" s="97" t="n">
        <v>10</v>
      </c>
      <c r="H13" s="98" t="n">
        <v>0.0125</v>
      </c>
      <c r="I13" s="98" t="n">
        <v>0.412998678575912</v>
      </c>
      <c r="J13" s="121" t="n">
        <v>4.1</v>
      </c>
      <c r="K13" s="97" t="n">
        <v>0</v>
      </c>
      <c r="L13" s="95" t="n">
        <v>0</v>
      </c>
    </row>
    <row r="14" ht="15" customHeight="1" s="66">
      <c r="A14" s="102" t="inlineStr">
        <is>
          <t>ABM marketing tools</t>
        </is>
      </c>
      <c r="B14" s="102" t="inlineStr">
        <is>
          <t>ABM</t>
        </is>
      </c>
      <c r="C14" s="105" t="n">
        <v>500</v>
      </c>
      <c r="D14" s="105" t="n">
        <v>27</v>
      </c>
      <c r="E14" s="105" t="n">
        <v>29</v>
      </c>
      <c r="F14" s="122">
        <f>E14-D14</f>
        <v/>
      </c>
      <c r="G14" s="105" t="n">
        <v>5</v>
      </c>
      <c r="H14" s="106" t="n">
        <v>0.01</v>
      </c>
      <c r="I14" s="106" t="n">
        <v>0.516194063202329</v>
      </c>
      <c r="J14" s="123" t="n">
        <v>4.3</v>
      </c>
      <c r="K14" s="105" t="n">
        <v>0</v>
      </c>
      <c r="L14" s="103" t="n">
        <v>0</v>
      </c>
    </row>
    <row r="15" ht="15" customHeight="1" s="66">
      <c r="A15" s="94" t="inlineStr">
        <is>
          <t>B2B marketing automation</t>
        </is>
      </c>
      <c r="B15" s="94" t="inlineStr">
        <is>
          <t>Automation</t>
        </is>
      </c>
      <c r="C15" s="97" t="n">
        <v>5000</v>
      </c>
      <c r="D15" s="97" t="n">
        <v>35</v>
      </c>
      <c r="E15" s="97" t="n">
        <v>29</v>
      </c>
      <c r="F15" s="120">
        <f>E15-D15</f>
        <v/>
      </c>
      <c r="G15" s="97" t="n">
        <v>50</v>
      </c>
      <c r="H15" s="98" t="n">
        <v>0.01</v>
      </c>
      <c r="I15" s="98" t="n">
        <v>0.649402946154505</v>
      </c>
      <c r="J15" s="121" t="n">
        <v>4.7</v>
      </c>
      <c r="K15" s="97" t="n">
        <v>4</v>
      </c>
      <c r="L15" s="95" t="n">
        <v>3184</v>
      </c>
    </row>
    <row r="16" ht="15" customHeight="1" s="66">
      <c r="A16" s="102" t="inlineStr">
        <is>
          <t>inbound marketing</t>
        </is>
      </c>
      <c r="B16" s="102" t="inlineStr">
        <is>
          <t>Inbound</t>
        </is>
      </c>
      <c r="C16" s="105" t="n">
        <v>800</v>
      </c>
      <c r="D16" s="105" t="n">
        <v>10</v>
      </c>
      <c r="E16" s="105" t="n">
        <v>5</v>
      </c>
      <c r="F16" s="122">
        <f>E16-D16</f>
        <v/>
      </c>
      <c r="G16" s="105" t="n">
        <v>8</v>
      </c>
      <c r="H16" s="106" t="n">
        <v>0.01</v>
      </c>
      <c r="I16" s="106" t="n">
        <v>0.503567331197709</v>
      </c>
      <c r="J16" s="123" t="n">
        <v>3.8</v>
      </c>
      <c r="K16" s="105" t="n">
        <v>1</v>
      </c>
      <c r="L16" s="103" t="n">
        <v>831</v>
      </c>
    </row>
    <row r="17" ht="15" customHeight="1" s="66">
      <c r="A17" s="94" t="inlineStr">
        <is>
          <t>conversion rate optimization</t>
        </is>
      </c>
      <c r="B17" s="94" t="inlineStr">
        <is>
          <t>CRO</t>
        </is>
      </c>
      <c r="C17" s="97" t="n">
        <v>20000</v>
      </c>
      <c r="D17" s="97" t="n">
        <v>21</v>
      </c>
      <c r="E17" s="97" t="n">
        <v>18</v>
      </c>
      <c r="F17" s="120">
        <f>E17-D17</f>
        <v/>
      </c>
      <c r="G17" s="97" t="n">
        <v>200</v>
      </c>
      <c r="H17" s="98" t="n">
        <v>0.01</v>
      </c>
      <c r="I17" s="98" t="n">
        <v>0.480282333515997</v>
      </c>
      <c r="J17" s="121" t="n">
        <v>5.5</v>
      </c>
      <c r="K17" s="97" t="n">
        <v>6</v>
      </c>
      <c r="L17" s="95" t="n">
        <v>7722</v>
      </c>
    </row>
    <row r="18" ht="15" customHeight="1" s="66">
      <c r="A18" s="102" t="inlineStr">
        <is>
          <t>marketing ROI calculator</t>
        </is>
      </c>
      <c r="B18" s="102" t="inlineStr">
        <is>
          <t>Analytics</t>
        </is>
      </c>
      <c r="C18" s="105" t="n">
        <v>2000</v>
      </c>
      <c r="D18" s="105" t="n">
        <v>19</v>
      </c>
      <c r="E18" s="105" t="n">
        <v>24</v>
      </c>
      <c r="F18" s="122">
        <f>E18-D18</f>
        <v/>
      </c>
      <c r="G18" s="105" t="n">
        <v>20</v>
      </c>
      <c r="H18" s="106" t="n">
        <v>0.01</v>
      </c>
      <c r="I18" s="106" t="n">
        <v>0.507081189561694</v>
      </c>
      <c r="J18" s="123" t="n">
        <v>4.8</v>
      </c>
      <c r="K18" s="105" t="n">
        <v>1</v>
      </c>
      <c r="L18" s="103" t="n">
        <v>1162</v>
      </c>
    </row>
    <row r="19" ht="15" customHeight="1" s="66">
      <c r="A19" s="94" t="inlineStr">
        <is>
          <t>campaign management software</t>
        </is>
      </c>
      <c r="B19" s="94" t="inlineStr">
        <is>
          <t>Mgmt</t>
        </is>
      </c>
      <c r="C19" s="97" t="n">
        <v>20000</v>
      </c>
      <c r="D19" s="97" t="n">
        <v>15</v>
      </c>
      <c r="E19" s="97" t="n">
        <v>22</v>
      </c>
      <c r="F19" s="120">
        <f>E19-D19</f>
        <v/>
      </c>
      <c r="G19" s="97" t="n">
        <v>200</v>
      </c>
      <c r="H19" s="98" t="n">
        <v>0.01</v>
      </c>
      <c r="I19" s="98" t="n">
        <v>0.531096245355318</v>
      </c>
      <c r="J19" s="121" t="n">
        <v>3.4</v>
      </c>
      <c r="K19" s="97" t="n">
        <v>10</v>
      </c>
      <c r="L19" s="95" t="n">
        <v>2730</v>
      </c>
    </row>
    <row r="20" ht="15" customHeight="1" s="66">
      <c r="A20" s="102" t="inlineStr">
        <is>
          <t>influencer marketing platform</t>
        </is>
      </c>
      <c r="B20" s="102" t="inlineStr">
        <is>
          <t>Influencer</t>
        </is>
      </c>
      <c r="C20" s="105" t="n">
        <v>1000</v>
      </c>
      <c r="D20" s="105" t="n">
        <v>6</v>
      </c>
      <c r="E20" s="105" t="n">
        <v>-1</v>
      </c>
      <c r="F20" s="122">
        <f>E20-D20</f>
        <v/>
      </c>
      <c r="G20" s="105" t="n">
        <v>17</v>
      </c>
      <c r="H20" s="106" t="n">
        <v>0.017</v>
      </c>
      <c r="I20" s="106" t="n">
        <v>0.5109088685862681</v>
      </c>
      <c r="J20" s="123" t="n">
        <v>4.8</v>
      </c>
      <c r="K20" s="105" t="n">
        <v>1</v>
      </c>
      <c r="L20" s="103" t="n">
        <v>957</v>
      </c>
    </row>
    <row r="21" ht="15" customHeight="1" s="66">
      <c r="A21" s="94" t="inlineStr">
        <is>
          <t>affiliate marketing software</t>
        </is>
      </c>
      <c r="B21" s="94" t="inlineStr">
        <is>
          <t>Affiliate</t>
        </is>
      </c>
      <c r="C21" s="97" t="n">
        <v>5000</v>
      </c>
      <c r="D21" s="97" t="n">
        <v>46</v>
      </c>
      <c r="E21" s="97" t="n">
        <v>43</v>
      </c>
      <c r="F21" s="120">
        <f>E21-D21</f>
        <v/>
      </c>
      <c r="G21" s="97" t="n">
        <v>50</v>
      </c>
      <c r="H21" s="98" t="n">
        <v>0.01</v>
      </c>
      <c r="I21" s="98" t="n">
        <v>0.686117073352043</v>
      </c>
      <c r="J21" s="121" t="n">
        <v>2.7</v>
      </c>
      <c r="K21" s="97" t="n">
        <v>1</v>
      </c>
      <c r="L21" s="95" t="n">
        <v>1376</v>
      </c>
    </row>
    <row r="22" ht="15" customHeight="1" s="66">
      <c r="A22" s="102" t="inlineStr">
        <is>
          <t>webinar marketing platform</t>
        </is>
      </c>
      <c r="B22" s="102" t="inlineStr">
        <is>
          <t>Events</t>
        </is>
      </c>
      <c r="C22" s="105" t="n">
        <v>10000</v>
      </c>
      <c r="D22" s="105" t="n">
        <v>48</v>
      </c>
      <c r="E22" s="105" t="n">
        <v>43</v>
      </c>
      <c r="F22" s="122">
        <f>E22-D22</f>
        <v/>
      </c>
      <c r="G22" s="105" t="n">
        <v>100</v>
      </c>
      <c r="H22" s="106" t="n">
        <v>0.01</v>
      </c>
      <c r="I22" s="106" t="n">
        <v>0.656296041711352</v>
      </c>
      <c r="J22" s="123" t="n">
        <v>2.5</v>
      </c>
      <c r="K22" s="105" t="n">
        <v>2</v>
      </c>
      <c r="L22" s="103" t="n">
        <v>1110</v>
      </c>
    </row>
    <row r="23" ht="15" customHeight="1" s="66">
      <c r="A23" s="94" t="inlineStr">
        <is>
          <t>video marketing tools</t>
        </is>
      </c>
      <c r="B23" s="94" t="inlineStr">
        <is>
          <t>Video</t>
        </is>
      </c>
      <c r="C23" s="97" t="n">
        <v>10000</v>
      </c>
      <c r="D23" s="97" t="n">
        <v>32</v>
      </c>
      <c r="E23" s="97" t="n">
        <v>27</v>
      </c>
      <c r="F23" s="120">
        <f>E23-D23</f>
        <v/>
      </c>
      <c r="G23" s="97" t="n">
        <v>100</v>
      </c>
      <c r="H23" s="98" t="n">
        <v>0.01</v>
      </c>
      <c r="I23" s="98" t="n">
        <v>0.38414835398536</v>
      </c>
      <c r="J23" s="121" t="n">
        <v>1.4</v>
      </c>
      <c r="K23" s="97" t="n">
        <v>7</v>
      </c>
      <c r="L23" s="95" t="n">
        <v>5117</v>
      </c>
    </row>
    <row r="24" ht="15" customHeight="1" s="66">
      <c r="A24" s="102" t="inlineStr">
        <is>
          <t>chatbot marketing</t>
        </is>
      </c>
      <c r="B24" s="102" t="inlineStr">
        <is>
          <t>Chat</t>
        </is>
      </c>
      <c r="C24" s="105" t="n">
        <v>2000</v>
      </c>
      <c r="D24" s="105" t="n">
        <v>1</v>
      </c>
      <c r="E24" s="105" t="n">
        <v>3</v>
      </c>
      <c r="F24" s="122">
        <f>E24-D24</f>
        <v/>
      </c>
      <c r="G24" s="105" t="n">
        <v>600</v>
      </c>
      <c r="H24" s="106" t="n">
        <v>0.3</v>
      </c>
      <c r="I24" s="106" t="n">
        <v>0.388237313207712</v>
      </c>
      <c r="J24" s="123" t="n">
        <v>4.3</v>
      </c>
      <c r="K24" s="105" t="n">
        <v>37</v>
      </c>
      <c r="L24" s="103" t="n">
        <v>48914</v>
      </c>
    </row>
    <row r="25" ht="15" customHeight="1" s="66">
      <c r="A25" s="94" t="inlineStr">
        <is>
          <t>personalization software</t>
        </is>
      </c>
      <c r="B25" s="94" t="inlineStr">
        <is>
          <t>Personalization</t>
        </is>
      </c>
      <c r="C25" s="97" t="n">
        <v>5000</v>
      </c>
      <c r="D25" s="97" t="n">
        <v>12</v>
      </c>
      <c r="E25" s="97" t="n">
        <v>15</v>
      </c>
      <c r="F25" s="120">
        <f>E25-D25</f>
        <v/>
      </c>
      <c r="G25" s="97" t="n">
        <v>50</v>
      </c>
      <c r="H25" s="98" t="n">
        <v>0.01</v>
      </c>
      <c r="I25" s="98" t="n">
        <v>0.6100661562688739</v>
      </c>
      <c r="J25" s="121" t="n">
        <v>2.5</v>
      </c>
      <c r="K25" s="97" t="n">
        <v>4</v>
      </c>
      <c r="L25" s="95" t="n">
        <v>5960</v>
      </c>
    </row>
    <row r="26" ht="15" customHeight="1" s="66">
      <c r="A26" s="102" t="inlineStr">
        <is>
          <t>account based marketing</t>
        </is>
      </c>
      <c r="B26" s="102" t="inlineStr">
        <is>
          <t>ABM</t>
        </is>
      </c>
      <c r="C26" s="105" t="n">
        <v>10000</v>
      </c>
      <c r="D26" s="105" t="n">
        <v>3</v>
      </c>
      <c r="E26" s="105" t="n">
        <v>-4</v>
      </c>
      <c r="F26" s="122">
        <f>E26-D26</f>
        <v/>
      </c>
      <c r="G26" s="105" t="n">
        <v>1000</v>
      </c>
      <c r="H26" s="106" t="n">
        <v>0.1</v>
      </c>
      <c r="I26" s="106" t="n">
        <v>0.533370143853671</v>
      </c>
      <c r="J26" s="123" t="n">
        <v>3</v>
      </c>
      <c r="K26" s="105" t="n">
        <v>62</v>
      </c>
      <c r="L26" s="103" t="n">
        <v>93000</v>
      </c>
    </row>
    <row r="27" ht="15" customHeight="1" s="66">
      <c r="A27" s="94" t="inlineStr">
        <is>
          <t>demand generation strategies</t>
        </is>
      </c>
      <c r="B27" s="94" t="inlineStr">
        <is>
          <t>Demand Gen</t>
        </is>
      </c>
      <c r="C27" s="97" t="n">
        <v>8000</v>
      </c>
      <c r="D27" s="97" t="n">
        <v>19</v>
      </c>
      <c r="E27" s="97" t="n">
        <v>26</v>
      </c>
      <c r="F27" s="120">
        <f>E27-D27</f>
        <v/>
      </c>
      <c r="G27" s="97" t="n">
        <v>80</v>
      </c>
      <c r="H27" s="98" t="n">
        <v>0.01</v>
      </c>
      <c r="I27" s="98" t="n">
        <v>0.434024538843414</v>
      </c>
      <c r="J27" s="121" t="n">
        <v>4.7</v>
      </c>
      <c r="K27" s="97" t="n">
        <v>5</v>
      </c>
      <c r="L27" s="95" t="n">
        <v>2745</v>
      </c>
    </row>
    <row r="28" ht="15" customHeight="1" s="66">
      <c r="A28" s="102" t="inlineStr">
        <is>
          <t>marketing attribution software</t>
        </is>
      </c>
      <c r="B28" s="102" t="inlineStr">
        <is>
          <t>Attribution</t>
        </is>
      </c>
      <c r="C28" s="105" t="n">
        <v>8000</v>
      </c>
      <c r="D28" s="105" t="n">
        <v>46</v>
      </c>
      <c r="E28" s="105" t="n">
        <v>42</v>
      </c>
      <c r="F28" s="122">
        <f>E28-D28</f>
        <v/>
      </c>
      <c r="G28" s="105" t="n">
        <v>80</v>
      </c>
      <c r="H28" s="106" t="n">
        <v>0.01</v>
      </c>
      <c r="I28" s="106" t="n">
        <v>0.556931271705972</v>
      </c>
      <c r="J28" s="123" t="n">
        <v>4.2</v>
      </c>
      <c r="K28" s="105" t="n">
        <v>2</v>
      </c>
      <c r="L28" s="103" t="n">
        <v>2788</v>
      </c>
    </row>
    <row r="29" ht="15" customHeight="1" s="66">
      <c r="A29" s="94" t="inlineStr">
        <is>
          <t>intent data platform</t>
        </is>
      </c>
      <c r="B29" s="94" t="inlineStr">
        <is>
          <t>Intent</t>
        </is>
      </c>
      <c r="C29" s="97" t="n">
        <v>2000</v>
      </c>
      <c r="D29" s="97" t="n">
        <v>50</v>
      </c>
      <c r="E29" s="97" t="n">
        <v>44</v>
      </c>
      <c r="F29" s="120">
        <f>E29-D29</f>
        <v/>
      </c>
      <c r="G29" s="97" t="n">
        <v>20</v>
      </c>
      <c r="H29" s="98" t="n">
        <v>0.01</v>
      </c>
      <c r="I29" s="98" t="n">
        <v>0.729205614806006</v>
      </c>
      <c r="J29" s="121" t="n">
        <v>1.6</v>
      </c>
      <c r="K29" s="97" t="n">
        <v>1</v>
      </c>
      <c r="L29" s="95" t="n">
        <v>882</v>
      </c>
    </row>
    <row r="30" ht="15" customHeight="1" s="66">
      <c r="A30" s="102" t="inlineStr">
        <is>
          <t>sales enablement tools</t>
        </is>
      </c>
      <c r="B30" s="102" t="inlineStr">
        <is>
          <t>Sales</t>
        </is>
      </c>
      <c r="C30" s="105" t="n">
        <v>10000</v>
      </c>
      <c r="D30" s="105" t="n">
        <v>6</v>
      </c>
      <c r="E30" s="105" t="n">
        <v>12</v>
      </c>
      <c r="F30" s="122">
        <f>E30-D30</f>
        <v/>
      </c>
      <c r="G30" s="105" t="n">
        <v>167</v>
      </c>
      <c r="H30" s="106" t="n">
        <v>0.0167</v>
      </c>
      <c r="I30" s="106" t="n">
        <v>0.433484181544591</v>
      </c>
      <c r="J30" s="123" t="n">
        <v>3.8</v>
      </c>
      <c r="K30" s="105" t="n">
        <v>11</v>
      </c>
      <c r="L30" s="103" t="n">
        <v>7106</v>
      </c>
    </row>
    <row r="31" ht="15" customHeight="1" s="66">
      <c r="A31" s="94" t="inlineStr">
        <is>
          <t>revenue operations</t>
        </is>
      </c>
      <c r="B31" s="94" t="inlineStr">
        <is>
          <t>RevOps</t>
        </is>
      </c>
      <c r="C31" s="97" t="n">
        <v>20000</v>
      </c>
      <c r="D31" s="97" t="n">
        <v>2</v>
      </c>
      <c r="E31" s="97" t="n">
        <v>3</v>
      </c>
      <c r="F31" s="120">
        <f>E31-D31</f>
        <v/>
      </c>
      <c r="G31" s="97" t="n">
        <v>3000</v>
      </c>
      <c r="H31" s="98" t="n">
        <v>0.15</v>
      </c>
      <c r="I31" s="98" t="n">
        <v>0.588314785963029</v>
      </c>
      <c r="J31" s="121" t="n">
        <v>3.7</v>
      </c>
      <c r="K31" s="97" t="n">
        <v>86</v>
      </c>
      <c r="L31" s="95" t="n">
        <v>24596</v>
      </c>
    </row>
    <row r="32" ht="15" customHeight="1" s="66">
      <c r="A32" s="102" t="inlineStr">
        <is>
          <t>customer journey mapping</t>
        </is>
      </c>
      <c r="B32" s="102" t="inlineStr">
        <is>
          <t>CX</t>
        </is>
      </c>
      <c r="C32" s="105" t="n">
        <v>8000</v>
      </c>
      <c r="D32" s="105" t="n">
        <v>42</v>
      </c>
      <c r="E32" s="105" t="n">
        <v>49</v>
      </c>
      <c r="F32" s="122">
        <f>E32-D32</f>
        <v/>
      </c>
      <c r="G32" s="105" t="n">
        <v>80</v>
      </c>
      <c r="H32" s="106" t="n">
        <v>0.01</v>
      </c>
      <c r="I32" s="106" t="n">
        <v>0.689589035963783</v>
      </c>
      <c r="J32" s="123" t="n">
        <v>2.3</v>
      </c>
      <c r="K32" s="105" t="n">
        <v>2</v>
      </c>
      <c r="L32" s="103" t="n">
        <v>2910</v>
      </c>
    </row>
    <row r="33" ht="15" customHeight="1" s="66">
      <c r="A33" s="94" t="inlineStr">
        <is>
          <t>growth hacking techniques</t>
        </is>
      </c>
      <c r="B33" s="94" t="inlineStr">
        <is>
          <t>Growth</t>
        </is>
      </c>
      <c r="C33" s="97" t="n">
        <v>10000</v>
      </c>
      <c r="D33" s="97" t="n">
        <v>6</v>
      </c>
      <c r="E33" s="97" t="n">
        <v>11</v>
      </c>
      <c r="F33" s="120">
        <f>E33-D33</f>
        <v/>
      </c>
      <c r="G33" s="97" t="n">
        <v>167</v>
      </c>
      <c r="H33" s="98" t="n">
        <v>0.0167</v>
      </c>
      <c r="I33" s="98" t="n">
        <v>0.550303588993448</v>
      </c>
      <c r="J33" s="121" t="n">
        <v>1.8</v>
      </c>
      <c r="K33" s="97" t="n">
        <v>12</v>
      </c>
      <c r="L33" s="95" t="n">
        <v>2760</v>
      </c>
    </row>
    <row r="34" ht="15" customHeight="1" s="66">
      <c r="A34" s="102" t="inlineStr">
        <is>
          <t>product-led growth</t>
        </is>
      </c>
      <c r="B34" s="102" t="inlineStr">
        <is>
          <t>PLG</t>
        </is>
      </c>
      <c r="C34" s="105" t="n">
        <v>3000</v>
      </c>
      <c r="D34" s="105" t="n">
        <v>15</v>
      </c>
      <c r="E34" s="105" t="n">
        <v>19</v>
      </c>
      <c r="F34" s="122">
        <f>E34-D34</f>
        <v/>
      </c>
      <c r="G34" s="105" t="n">
        <v>30</v>
      </c>
      <c r="H34" s="106" t="n">
        <v>0.01</v>
      </c>
      <c r="I34" s="106" t="n">
        <v>0.749408961294091</v>
      </c>
      <c r="J34" s="123" t="n">
        <v>4.3</v>
      </c>
      <c r="K34" s="105" t="n">
        <v>1</v>
      </c>
      <c r="L34" s="103" t="n">
        <v>874</v>
      </c>
    </row>
    <row r="35" ht="15" customHeight="1" s="66">
      <c r="A35" s="94" t="inlineStr">
        <is>
          <t>SaaS marketing</t>
        </is>
      </c>
      <c r="B35" s="94" t="inlineStr">
        <is>
          <t>SaaS</t>
        </is>
      </c>
      <c r="C35" s="97" t="n">
        <v>8000</v>
      </c>
      <c r="D35" s="97" t="n">
        <v>23</v>
      </c>
      <c r="E35" s="97" t="n">
        <v>16</v>
      </c>
      <c r="F35" s="120">
        <f>E35-D35</f>
        <v/>
      </c>
      <c r="G35" s="97" t="n">
        <v>80</v>
      </c>
      <c r="H35" s="98" t="n">
        <v>0.01</v>
      </c>
      <c r="I35" s="98" t="n">
        <v>0.592004830566275</v>
      </c>
      <c r="J35" s="121" t="n">
        <v>4.9</v>
      </c>
      <c r="K35" s="97" t="n">
        <v>3</v>
      </c>
      <c r="L35" s="95" t="n">
        <v>4434</v>
      </c>
    </row>
    <row r="36" ht="15" customHeight="1" s="66">
      <c r="A36" s="102" t="inlineStr">
        <is>
          <t>PLG strategies</t>
        </is>
      </c>
      <c r="B36" s="102" t="inlineStr">
        <is>
          <t>PLG</t>
        </is>
      </c>
      <c r="C36" s="105" t="n">
        <v>1000</v>
      </c>
      <c r="D36" s="105" t="n">
        <v>15</v>
      </c>
      <c r="E36" s="105" t="n">
        <v>9</v>
      </c>
      <c r="F36" s="122">
        <f>E36-D36</f>
        <v/>
      </c>
      <c r="G36" s="105" t="n">
        <v>10</v>
      </c>
      <c r="H36" s="106" t="n">
        <v>0.01</v>
      </c>
      <c r="I36" s="106" t="n">
        <v>0.675601135520588</v>
      </c>
      <c r="J36" s="123" t="n">
        <v>4.1</v>
      </c>
      <c r="K36" s="105" t="n">
        <v>1</v>
      </c>
      <c r="L36" s="103" t="n">
        <v>488</v>
      </c>
    </row>
    <row r="37" ht="15" customHeight="1" s="66">
      <c r="A37" s="94" t="inlineStr">
        <is>
          <t>content strategy template</t>
        </is>
      </c>
      <c r="B37" s="94" t="inlineStr">
        <is>
          <t>Content</t>
        </is>
      </c>
      <c r="C37" s="97" t="n">
        <v>800</v>
      </c>
      <c r="D37" s="97" t="n">
        <v>48</v>
      </c>
      <c r="E37" s="97" t="n">
        <v>41</v>
      </c>
      <c r="F37" s="120">
        <f>E37-D37</f>
        <v/>
      </c>
      <c r="G37" s="97" t="n">
        <v>8</v>
      </c>
      <c r="H37" s="98" t="n">
        <v>0.01</v>
      </c>
      <c r="I37" s="98" t="n">
        <v>0.7430318727079051</v>
      </c>
      <c r="J37" s="121" t="n">
        <v>3</v>
      </c>
      <c r="K37" s="97" t="n">
        <v>1</v>
      </c>
      <c r="L37" s="95" t="n">
        <v>877</v>
      </c>
    </row>
    <row r="38" ht="15" customHeight="1" s="66">
      <c r="A38" s="102" t="inlineStr">
        <is>
          <t>SEO content writing</t>
        </is>
      </c>
      <c r="B38" s="102" t="inlineStr">
        <is>
          <t>SEO</t>
        </is>
      </c>
      <c r="C38" s="105" t="n">
        <v>1000</v>
      </c>
      <c r="D38" s="105" t="n">
        <v>34</v>
      </c>
      <c r="E38" s="105" t="n">
        <v>37</v>
      </c>
      <c r="F38" s="122">
        <f>E38-D38</f>
        <v/>
      </c>
      <c r="G38" s="105" t="n">
        <v>10</v>
      </c>
      <c r="H38" s="106" t="n">
        <v>0.01</v>
      </c>
      <c r="I38" s="106" t="n">
        <v>0.6897495644621821</v>
      </c>
      <c r="J38" s="123" t="n">
        <v>1.4</v>
      </c>
      <c r="K38" s="105" t="n">
        <v>0</v>
      </c>
      <c r="L38" s="103" t="n">
        <v>0</v>
      </c>
    </row>
    <row r="39" ht="15" customHeight="1" s="66">
      <c r="A39" s="94" t="inlineStr">
        <is>
          <t>blog monetization</t>
        </is>
      </c>
      <c r="B39" s="94" t="inlineStr">
        <is>
          <t>Monetization</t>
        </is>
      </c>
      <c r="C39" s="97" t="n">
        <v>15000</v>
      </c>
      <c r="D39" s="97" t="n">
        <v>1</v>
      </c>
      <c r="E39" s="97" t="n">
        <v>-5</v>
      </c>
      <c r="F39" s="120">
        <f>E39-D39</f>
        <v/>
      </c>
      <c r="G39" s="97" t="n">
        <v>4500</v>
      </c>
      <c r="H39" s="98" t="n">
        <v>0.3</v>
      </c>
      <c r="I39" s="98" t="n">
        <v>0.566683903540613</v>
      </c>
      <c r="J39" s="121" t="n">
        <v>1.2</v>
      </c>
      <c r="K39" s="97" t="n">
        <v>151</v>
      </c>
      <c r="L39" s="95" t="n">
        <v>188146</v>
      </c>
    </row>
    <row r="40" ht="15" customHeight="1" s="66">
      <c r="A40" s="102" t="inlineStr">
        <is>
          <t>podcast marketing</t>
        </is>
      </c>
      <c r="B40" s="102" t="inlineStr">
        <is>
          <t>Podcast</t>
        </is>
      </c>
      <c r="C40" s="105" t="n">
        <v>1500</v>
      </c>
      <c r="D40" s="105" t="n">
        <v>10</v>
      </c>
      <c r="E40" s="105" t="n">
        <v>15</v>
      </c>
      <c r="F40" s="122">
        <f>E40-D40</f>
        <v/>
      </c>
      <c r="G40" s="105" t="n">
        <v>15</v>
      </c>
      <c r="H40" s="106" t="n">
        <v>0.01</v>
      </c>
      <c r="I40" s="106" t="n">
        <v>0.496865928490454</v>
      </c>
      <c r="J40" s="123" t="n">
        <v>3.2</v>
      </c>
      <c r="K40" s="105" t="n">
        <v>1</v>
      </c>
      <c r="L40" s="103" t="n">
        <v>900</v>
      </c>
    </row>
    <row r="41" ht="15" customHeight="1" s="66">
      <c r="A41" s="94" t="inlineStr">
        <is>
          <t>TikTok for business</t>
        </is>
      </c>
      <c r="B41" s="94" t="inlineStr">
        <is>
          <t>Social</t>
        </is>
      </c>
      <c r="C41" s="97" t="n">
        <v>8000</v>
      </c>
      <c r="D41" s="97" t="n">
        <v>19</v>
      </c>
      <c r="E41" s="97" t="n">
        <v>20</v>
      </c>
      <c r="F41" s="120">
        <f>E41-D41</f>
        <v/>
      </c>
      <c r="G41" s="97" t="n">
        <v>80</v>
      </c>
      <c r="H41" s="98" t="n">
        <v>0.01</v>
      </c>
      <c r="I41" s="98" t="n">
        <v>0.380583819891424</v>
      </c>
      <c r="J41" s="121" t="n">
        <v>4.3</v>
      </c>
      <c r="K41" s="97" t="n">
        <v>4</v>
      </c>
      <c r="L41" s="95" t="n">
        <v>2328</v>
      </c>
    </row>
    <row r="42" ht="15" customHeight="1" s="66">
      <c r="A42" s="102" t="inlineStr">
        <is>
          <t>LinkedIn marketing</t>
        </is>
      </c>
      <c r="B42" s="102" t="inlineStr">
        <is>
          <t>Social</t>
        </is>
      </c>
      <c r="C42" s="105" t="n">
        <v>10000</v>
      </c>
      <c r="D42" s="105" t="n">
        <v>45</v>
      </c>
      <c r="E42" s="105" t="n">
        <v>51</v>
      </c>
      <c r="F42" s="122">
        <f>E42-D42</f>
        <v/>
      </c>
      <c r="G42" s="105" t="n">
        <v>100</v>
      </c>
      <c r="H42" s="106" t="n">
        <v>0.01</v>
      </c>
      <c r="I42" s="106" t="n">
        <v>0.721571726238972</v>
      </c>
      <c r="J42" s="123" t="n">
        <v>1.6</v>
      </c>
      <c r="K42" s="105" t="n">
        <v>6</v>
      </c>
      <c r="L42" s="103" t="n">
        <v>8688</v>
      </c>
    </row>
    <row r="43" ht="15" customHeight="1" s="66">
      <c r="A43" s="94" t="inlineStr">
        <is>
          <t>Twitter ads strategy</t>
        </is>
      </c>
      <c r="B43" s="94" t="inlineStr">
        <is>
          <t>Social</t>
        </is>
      </c>
      <c r="C43" s="97" t="n">
        <v>5000</v>
      </c>
      <c r="D43" s="97" t="n">
        <v>45</v>
      </c>
      <c r="E43" s="97" t="n">
        <v>46</v>
      </c>
      <c r="F43" s="120">
        <f>E43-D43</f>
        <v/>
      </c>
      <c r="G43" s="97" t="n">
        <v>50</v>
      </c>
      <c r="H43" s="98" t="n">
        <v>0.01</v>
      </c>
      <c r="I43" s="98" t="n">
        <v>0.484346203124467</v>
      </c>
      <c r="J43" s="121" t="n">
        <v>5.6</v>
      </c>
      <c r="K43" s="97" t="n">
        <v>3</v>
      </c>
      <c r="L43" s="95" t="n">
        <v>1881</v>
      </c>
    </row>
    <row r="44" ht="15" customHeight="1" s="66">
      <c r="A44" s="102" t="inlineStr">
        <is>
          <t>YouTube channel growth</t>
        </is>
      </c>
      <c r="B44" s="102" t="inlineStr">
        <is>
          <t>Social</t>
        </is>
      </c>
      <c r="C44" s="105" t="n">
        <v>1500</v>
      </c>
      <c r="D44" s="105" t="n">
        <v>22</v>
      </c>
      <c r="E44" s="105" t="n">
        <v>28</v>
      </c>
      <c r="F44" s="122">
        <f>E44-D44</f>
        <v/>
      </c>
      <c r="G44" s="105" t="n">
        <v>15</v>
      </c>
      <c r="H44" s="106" t="n">
        <v>0.01</v>
      </c>
      <c r="I44" s="106" t="n">
        <v>0.553777714714727</v>
      </c>
      <c r="J44" s="123" t="n">
        <v>2</v>
      </c>
      <c r="K44" s="105" t="n">
        <v>1</v>
      </c>
      <c r="L44" s="103" t="n">
        <v>781</v>
      </c>
    </row>
    <row r="45" ht="15" customHeight="1" s="66">
      <c r="A45" s="94" t="inlineStr">
        <is>
          <t>Facebook retargeting</t>
        </is>
      </c>
      <c r="B45" s="94" t="inlineStr">
        <is>
          <t>Social</t>
        </is>
      </c>
      <c r="C45" s="97" t="n">
        <v>8000</v>
      </c>
      <c r="D45" s="97" t="n">
        <v>19</v>
      </c>
      <c r="E45" s="97" t="n">
        <v>20</v>
      </c>
      <c r="F45" s="120">
        <f>E45-D45</f>
        <v/>
      </c>
      <c r="G45" s="97" t="n">
        <v>80</v>
      </c>
      <c r="H45" s="98" t="n">
        <v>0.01</v>
      </c>
      <c r="I45" s="98" t="n">
        <v>0.614080988610134</v>
      </c>
      <c r="J45" s="121" t="n">
        <v>4.5</v>
      </c>
      <c r="K45" s="97" t="n">
        <v>4</v>
      </c>
      <c r="L45" s="95" t="n">
        <v>4044</v>
      </c>
    </row>
    <row r="46" ht="15" customHeight="1" s="66">
      <c r="A46" s="102" t="inlineStr">
        <is>
          <t>Google Ads optimization</t>
        </is>
      </c>
      <c r="B46" s="102" t="inlineStr">
        <is>
          <t>PPC</t>
        </is>
      </c>
      <c r="C46" s="105" t="n">
        <v>800</v>
      </c>
      <c r="D46" s="105" t="n">
        <v>5</v>
      </c>
      <c r="E46" s="105" t="n">
        <v>4</v>
      </c>
      <c r="F46" s="122">
        <f>E46-D46</f>
        <v/>
      </c>
      <c r="G46" s="105" t="n">
        <v>16</v>
      </c>
      <c r="H46" s="106" t="n">
        <v>0.02</v>
      </c>
      <c r="I46" s="106" t="n">
        <v>0.422099893517988</v>
      </c>
      <c r="J46" s="123" t="n">
        <v>5.6</v>
      </c>
      <c r="K46" s="105" t="n">
        <v>0</v>
      </c>
      <c r="L46" s="103" t="n">
        <v>0</v>
      </c>
    </row>
    <row r="47" ht="15" customHeight="1" s="66">
      <c r="A47" s="94" t="inlineStr">
        <is>
          <t>programmatic advertising</t>
        </is>
      </c>
      <c r="B47" s="94" t="inlineStr">
        <is>
          <t>Programmatic</t>
        </is>
      </c>
      <c r="C47" s="97" t="n">
        <v>5000</v>
      </c>
      <c r="D47" s="97" t="n">
        <v>30</v>
      </c>
      <c r="E47" s="97" t="n">
        <v>24</v>
      </c>
      <c r="F47" s="120">
        <f>E47-D47</f>
        <v/>
      </c>
      <c r="G47" s="97" t="n">
        <v>50</v>
      </c>
      <c r="H47" s="98" t="n">
        <v>0.01</v>
      </c>
      <c r="I47" s="98" t="n">
        <v>0.5903757886076541</v>
      </c>
      <c r="J47" s="121" t="n">
        <v>4.2</v>
      </c>
      <c r="K47" s="97" t="n">
        <v>4</v>
      </c>
      <c r="L47" s="95" t="n">
        <v>5508</v>
      </c>
    </row>
    <row r="48" ht="15" customHeight="1" s="66">
      <c r="A48" s="102" t="inlineStr">
        <is>
          <t>native advertising</t>
        </is>
      </c>
      <c r="B48" s="102" t="inlineStr">
        <is>
          <t>Native</t>
        </is>
      </c>
      <c r="C48" s="105" t="n">
        <v>10000</v>
      </c>
      <c r="D48" s="105" t="n">
        <v>16</v>
      </c>
      <c r="E48" s="105" t="n">
        <v>11</v>
      </c>
      <c r="F48" s="122">
        <f>E48-D48</f>
        <v/>
      </c>
      <c r="G48" s="105" t="n">
        <v>100</v>
      </c>
      <c r="H48" s="106" t="n">
        <v>0.01</v>
      </c>
      <c r="I48" s="106" t="n">
        <v>0.466851868178952</v>
      </c>
      <c r="J48" s="123" t="n">
        <v>3.4</v>
      </c>
      <c r="K48" s="105" t="n">
        <v>5</v>
      </c>
      <c r="L48" s="103" t="n">
        <v>1730</v>
      </c>
    </row>
    <row r="49" ht="15" customHeight="1" s="66">
      <c r="A49" s="94" t="inlineStr">
        <is>
          <t>marketing funnel optimization</t>
        </is>
      </c>
      <c r="B49" s="94" t="inlineStr">
        <is>
          <t>Funnel</t>
        </is>
      </c>
      <c r="C49" s="97" t="n">
        <v>1000</v>
      </c>
      <c r="D49" s="97" t="n">
        <v>43</v>
      </c>
      <c r="E49" s="97" t="n">
        <v>35</v>
      </c>
      <c r="F49" s="120">
        <f>E49-D49</f>
        <v/>
      </c>
      <c r="G49" s="97" t="n">
        <v>10</v>
      </c>
      <c r="H49" s="98" t="n">
        <v>0.01</v>
      </c>
      <c r="I49" s="98" t="n">
        <v>0.705559787491134</v>
      </c>
      <c r="J49" s="121" t="n">
        <v>2.9</v>
      </c>
      <c r="K49" s="97" t="n">
        <v>0</v>
      </c>
      <c r="L49" s="95" t="n">
        <v>0</v>
      </c>
    </row>
    <row r="50" ht="15" customHeight="1" s="66">
      <c r="A50" s="102" t="inlineStr">
        <is>
          <t>customer acquisition cost</t>
        </is>
      </c>
      <c r="B50" s="102" t="inlineStr">
        <is>
          <t>Finance</t>
        </is>
      </c>
      <c r="C50" s="105" t="n">
        <v>800</v>
      </c>
      <c r="D50" s="105" t="n">
        <v>43</v>
      </c>
      <c r="E50" s="105" t="n">
        <v>38</v>
      </c>
      <c r="F50" s="122">
        <f>E50-D50</f>
        <v/>
      </c>
      <c r="G50" s="105" t="n">
        <v>8</v>
      </c>
      <c r="H50" s="106" t="n">
        <v>0.01</v>
      </c>
      <c r="I50" s="106" t="n">
        <v>0.607714565865606</v>
      </c>
      <c r="J50" s="123" t="n">
        <v>4.3</v>
      </c>
      <c r="K50" s="105" t="n">
        <v>0</v>
      </c>
      <c r="L50" s="103" t="n">
        <v>0</v>
      </c>
    </row>
    <row r="51" ht="15" customHeight="1" s="66">
      <c r="A51" s="94" t="inlineStr">
        <is>
          <t>lifetime value calculation</t>
        </is>
      </c>
      <c r="B51" s="94" t="inlineStr">
        <is>
          <t>Finance</t>
        </is>
      </c>
      <c r="C51" s="97" t="n">
        <v>800</v>
      </c>
      <c r="D51" s="97" t="n">
        <v>20</v>
      </c>
      <c r="E51" s="97" t="n">
        <v>21</v>
      </c>
      <c r="F51" s="120">
        <f>E51-D51</f>
        <v/>
      </c>
      <c r="G51" s="97" t="n">
        <v>8</v>
      </c>
      <c r="H51" s="98" t="n">
        <v>0.01</v>
      </c>
      <c r="I51" s="98" t="n">
        <v>0.741720604968682</v>
      </c>
      <c r="J51" s="121" t="n">
        <v>2.8</v>
      </c>
      <c r="K51" s="97" t="n">
        <v>0</v>
      </c>
      <c r="L51" s="95" t="n">
        <v>0</v>
      </c>
    </row>
    <row r="52" ht="15" customHeight="1" s="66">
      <c r="A52" s="102" t="inlineStr">
        <is>
          <t>churn reduction</t>
        </is>
      </c>
      <c r="B52" s="102" t="inlineStr">
        <is>
          <t>Retention</t>
        </is>
      </c>
      <c r="C52" s="105" t="n">
        <v>2000</v>
      </c>
      <c r="D52" s="105" t="n">
        <v>28</v>
      </c>
      <c r="E52" s="105" t="n">
        <v>22</v>
      </c>
      <c r="F52" s="122">
        <f>E52-D52</f>
        <v/>
      </c>
      <c r="G52" s="105" t="n">
        <v>20</v>
      </c>
      <c r="H52" s="106" t="n">
        <v>0.01</v>
      </c>
      <c r="I52" s="106" t="n">
        <v>0.438096523335651</v>
      </c>
      <c r="J52" s="123" t="n">
        <v>2.3</v>
      </c>
      <c r="K52" s="105" t="n">
        <v>0</v>
      </c>
      <c r="L52" s="103" t="n">
        <v>0</v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65" min="1" max="1"/>
    <col width="16" customWidth="1" style="65" min="2" max="2"/>
    <col width="12" customWidth="1" style="65" min="3" max="3"/>
    <col width="11" customWidth="1" style="65" min="4" max="5"/>
    <col width="10" customWidth="1" style="65" min="6" max="7"/>
    <col width="11" customWidth="1" style="65" min="8" max="8"/>
    <col width="14" customWidth="1" style="65" min="9" max="9"/>
    <col width="12" customWidth="1" style="65" min="10" max="11"/>
    <col width="10" customWidth="1" style="65" min="12" max="12"/>
  </cols>
  <sheetData>
    <row r="1" ht="27.75" customHeight="1" s="66">
      <c r="A1" s="119" t="inlineStr">
        <is>
          <t>EMAIL MARKETING PERFORMANCE  |  Campaign-Level Analysis</t>
        </is>
      </c>
    </row>
    <row r="2" ht="27.75" customHeight="1" s="66">
      <c r="A2" s="93" t="inlineStr">
        <is>
          <t>Campaign Name</t>
        </is>
      </c>
      <c r="B2" s="93" t="inlineStr">
        <is>
          <t>Type</t>
        </is>
      </c>
      <c r="C2" s="93" t="inlineStr">
        <is>
          <t>Send Date</t>
        </is>
      </c>
      <c r="D2" s="93" t="inlineStr">
        <is>
          <t>List Size</t>
        </is>
      </c>
      <c r="E2" s="93" t="inlineStr">
        <is>
          <t>Delivered</t>
        </is>
      </c>
      <c r="F2" s="93" t="inlineStr">
        <is>
          <t>Open Rate</t>
        </is>
      </c>
      <c r="G2" s="93" t="inlineStr">
        <is>
          <t>Click Rate</t>
        </is>
      </c>
      <c r="H2" s="93" t="inlineStr">
        <is>
          <t>Bounce Rate</t>
        </is>
      </c>
      <c r="I2" s="93" t="inlineStr">
        <is>
          <t>Unsubscribes</t>
        </is>
      </c>
      <c r="J2" s="93" t="inlineStr">
        <is>
          <t>Conversions</t>
        </is>
      </c>
      <c r="K2" s="93" t="inlineStr">
        <is>
          <t>Revenue</t>
        </is>
      </c>
      <c r="L2" s="93" t="inlineStr">
        <is>
          <t>Cost</t>
        </is>
      </c>
    </row>
    <row r="3" ht="15" customHeight="1" s="66">
      <c r="A3" s="94" t="inlineStr">
        <is>
          <t>Monthly Newsletter</t>
        </is>
      </c>
      <c r="B3" s="94" t="inlineStr">
        <is>
          <t>Newsletter</t>
        </is>
      </c>
      <c r="C3" s="94" t="inlineStr">
        <is>
          <t>2025-01-01</t>
        </is>
      </c>
      <c r="D3" s="97" t="n">
        <v>31343</v>
      </c>
      <c r="E3" s="97" t="n">
        <v>30217</v>
      </c>
      <c r="F3" s="98" t="n">
        <v>0.178313823456678</v>
      </c>
      <c r="G3" s="98" t="n">
        <v>0.0384444241152443</v>
      </c>
      <c r="H3" s="98" t="n">
        <v>0.036</v>
      </c>
      <c r="I3" s="97" t="n">
        <v>67</v>
      </c>
      <c r="J3" s="97" t="n">
        <v>33</v>
      </c>
      <c r="K3" s="95" t="n">
        <v>7458</v>
      </c>
      <c r="L3" s="95" t="n">
        <v>820</v>
      </c>
    </row>
    <row r="4" ht="15" customHeight="1" s="66">
      <c r="A4" s="102" t="inlineStr">
        <is>
          <t>Summer Sale Promo</t>
        </is>
      </c>
      <c r="B4" s="102" t="inlineStr">
        <is>
          <t>Promotional</t>
        </is>
      </c>
      <c r="C4" s="102" t="inlineStr">
        <is>
          <t>2025-01-13</t>
        </is>
      </c>
      <c r="D4" s="105" t="n">
        <v>46043</v>
      </c>
      <c r="E4" s="105" t="n">
        <v>44840</v>
      </c>
      <c r="F4" s="106" t="n">
        <v>0.202369158168496</v>
      </c>
      <c r="G4" s="106" t="n">
        <v>0.101968277365976</v>
      </c>
      <c r="H4" s="106" t="n">
        <v>0.026</v>
      </c>
      <c r="I4" s="105" t="n">
        <v>58</v>
      </c>
      <c r="J4" s="105" t="n">
        <v>120</v>
      </c>
      <c r="K4" s="103" t="n">
        <v>41520</v>
      </c>
      <c r="L4" s="103" t="n">
        <v>702</v>
      </c>
    </row>
    <row r="5" ht="15" customHeight="1" s="66">
      <c r="A5" s="94" t="inlineStr">
        <is>
          <t>Welcome Series #1</t>
        </is>
      </c>
      <c r="B5" s="94" t="inlineStr">
        <is>
          <t>Drip - Welcome</t>
        </is>
      </c>
      <c r="C5" s="94" t="inlineStr">
        <is>
          <t>2025-01-25</t>
        </is>
      </c>
      <c r="D5" s="97" t="n">
        <v>30398</v>
      </c>
      <c r="E5" s="97" t="n">
        <v>29678</v>
      </c>
      <c r="F5" s="98" t="n">
        <v>0.15679892086483</v>
      </c>
      <c r="G5" s="98" t="n">
        <v>0.028042407879038</v>
      </c>
      <c r="H5" s="98" t="n">
        <v>0.024</v>
      </c>
      <c r="I5" s="97" t="n">
        <v>118</v>
      </c>
      <c r="J5" s="97" t="n">
        <v>20</v>
      </c>
      <c r="K5" s="95" t="n">
        <v>8340</v>
      </c>
      <c r="L5" s="95" t="n">
        <v>838</v>
      </c>
    </row>
    <row r="6" ht="15" customHeight="1" s="66">
      <c r="A6" s="102" t="inlineStr">
        <is>
          <t>Lead Nurture Wk2</t>
        </is>
      </c>
      <c r="B6" s="102" t="inlineStr">
        <is>
          <t>Drip - Nurture</t>
        </is>
      </c>
      <c r="C6" s="102" t="inlineStr">
        <is>
          <t>2025-02-06</t>
        </is>
      </c>
      <c r="D6" s="105" t="n">
        <v>28162</v>
      </c>
      <c r="E6" s="105" t="n">
        <v>27543</v>
      </c>
      <c r="F6" s="106" t="n">
        <v>0.178051559265884</v>
      </c>
      <c r="G6" s="106" t="n">
        <v>0.0279087916199278</v>
      </c>
      <c r="H6" s="106" t="n">
        <v>0.022</v>
      </c>
      <c r="I6" s="105" t="n">
        <v>137</v>
      </c>
      <c r="J6" s="105" t="n">
        <v>26</v>
      </c>
      <c r="K6" s="103" t="n">
        <v>18252</v>
      </c>
      <c r="L6" s="103" t="n">
        <v>541</v>
      </c>
    </row>
    <row r="7" ht="15" customHeight="1" s="66">
      <c r="A7" s="94" t="inlineStr">
        <is>
          <t>Win-Back Inactive</t>
        </is>
      </c>
      <c r="B7" s="94" t="inlineStr">
        <is>
          <t>Re-engagement</t>
        </is>
      </c>
      <c r="C7" s="94" t="inlineStr">
        <is>
          <t>2025-02-18</t>
        </is>
      </c>
      <c r="D7" s="97" t="n">
        <v>23386</v>
      </c>
      <c r="E7" s="97" t="n">
        <v>22890</v>
      </c>
      <c r="F7" s="98" t="n">
        <v>0.319080317375929</v>
      </c>
      <c r="G7" s="98" t="n">
        <v>0.0605553019347724</v>
      </c>
      <c r="H7" s="98" t="n">
        <v>0.021</v>
      </c>
      <c r="I7" s="97" t="n">
        <v>87</v>
      </c>
      <c r="J7" s="97" t="n">
        <v>39</v>
      </c>
      <c r="K7" s="95" t="n">
        <v>18798</v>
      </c>
      <c r="L7" s="95" t="n">
        <v>626</v>
      </c>
    </row>
    <row r="8" ht="15" customHeight="1" s="66">
      <c r="A8" s="102" t="inlineStr">
        <is>
          <t>New Feature Release</t>
        </is>
      </c>
      <c r="B8" s="102" t="inlineStr">
        <is>
          <t>Product Update</t>
        </is>
      </c>
      <c r="C8" s="102" t="inlineStr">
        <is>
          <t>2025-03-02</t>
        </is>
      </c>
      <c r="D8" s="105" t="n">
        <v>30305</v>
      </c>
      <c r="E8" s="105" t="n">
        <v>28934</v>
      </c>
      <c r="F8" s="106" t="n">
        <v>0.320572053447527</v>
      </c>
      <c r="G8" s="106" t="n">
        <v>0.0939917667945009</v>
      </c>
      <c r="H8" s="106" t="n">
        <v>0.045</v>
      </c>
      <c r="I8" s="105" t="n">
        <v>58</v>
      </c>
      <c r="J8" s="105" t="n">
        <v>144</v>
      </c>
      <c r="K8" s="103" t="n">
        <v>100944</v>
      </c>
      <c r="L8" s="103" t="n">
        <v>888</v>
      </c>
    </row>
    <row r="9" ht="15" customHeight="1" s="66">
      <c r="A9" s="94" t="inlineStr">
        <is>
          <t>Webinar Invitation</t>
        </is>
      </c>
      <c r="B9" s="94" t="inlineStr">
        <is>
          <t>Event Invite</t>
        </is>
      </c>
      <c r="C9" s="94" t="inlineStr">
        <is>
          <t>2025-03-14</t>
        </is>
      </c>
      <c r="D9" s="97" t="n">
        <v>21506</v>
      </c>
      <c r="E9" s="97" t="n">
        <v>21184</v>
      </c>
      <c r="F9" s="98" t="n">
        <v>0.331325590044637</v>
      </c>
      <c r="G9" s="98" t="n">
        <v>0.109556154611389</v>
      </c>
      <c r="H9" s="98" t="n">
        <v>0.015</v>
      </c>
      <c r="I9" s="97" t="n">
        <v>101</v>
      </c>
      <c r="J9" s="97" t="n">
        <v>112</v>
      </c>
      <c r="K9" s="95" t="n">
        <v>45248</v>
      </c>
      <c r="L9" s="95" t="n">
        <v>603</v>
      </c>
    </row>
    <row r="10" ht="15" customHeight="1" s="66">
      <c r="A10" s="102" t="inlineStr">
        <is>
          <t>Upgrade to Pro</t>
        </is>
      </c>
      <c r="B10" s="102" t="inlineStr">
        <is>
          <t>Upsell</t>
        </is>
      </c>
      <c r="C10" s="102" t="inlineStr">
        <is>
          <t>2025-03-26</t>
        </is>
      </c>
      <c r="D10" s="105" t="n">
        <v>43153</v>
      </c>
      <c r="E10" s="105" t="n">
        <v>42337</v>
      </c>
      <c r="F10" s="106" t="n">
        <v>0.410465674579635</v>
      </c>
      <c r="G10" s="106" t="n">
        <v>0.0314199782795494</v>
      </c>
      <c r="H10" s="106" t="n">
        <v>0.019</v>
      </c>
      <c r="I10" s="105" t="n">
        <v>56</v>
      </c>
      <c r="J10" s="105" t="n">
        <v>93</v>
      </c>
      <c r="K10" s="103" t="n">
        <v>20367</v>
      </c>
      <c r="L10" s="103" t="n">
        <v>1034</v>
      </c>
    </row>
    <row r="11" ht="15" customHeight="1" s="66">
      <c r="A11" s="94" t="inlineStr">
        <is>
          <t>30-Day Winback</t>
        </is>
      </c>
      <c r="B11" s="94" t="inlineStr">
        <is>
          <t>Winback</t>
        </is>
      </c>
      <c r="C11" s="94" t="inlineStr">
        <is>
          <t>2025-04-07</t>
        </is>
      </c>
      <c r="D11" s="97" t="n">
        <v>31419</v>
      </c>
      <c r="E11" s="97" t="n">
        <v>30585</v>
      </c>
      <c r="F11" s="98" t="n">
        <v>0.15667372690354</v>
      </c>
      <c r="G11" s="98" t="n">
        <v>0.0200334052293634</v>
      </c>
      <c r="H11" s="98" t="n">
        <v>0.027</v>
      </c>
      <c r="I11" s="97" t="n">
        <v>83</v>
      </c>
      <c r="J11" s="97" t="n">
        <v>19</v>
      </c>
      <c r="K11" s="95" t="n">
        <v>3743</v>
      </c>
      <c r="L11" s="95" t="n">
        <v>1161</v>
      </c>
    </row>
    <row r="12" ht="15" customHeight="1" s="66">
      <c r="A12" s="102" t="inlineStr">
        <is>
          <t>Order Confirmation</t>
        </is>
      </c>
      <c r="B12" s="102" t="inlineStr">
        <is>
          <t>Transactional</t>
        </is>
      </c>
      <c r="C12" s="102" t="inlineStr">
        <is>
          <t>2025-04-19</t>
        </is>
      </c>
      <c r="D12" s="105" t="n">
        <v>5844</v>
      </c>
      <c r="E12" s="105" t="n">
        <v>5770</v>
      </c>
      <c r="F12" s="106" t="n">
        <v>0.32652867447683</v>
      </c>
      <c r="G12" s="106" t="n">
        <v>0.102103928069113</v>
      </c>
      <c r="H12" s="106" t="n">
        <v>0.013</v>
      </c>
      <c r="I12" s="105" t="n">
        <v>26</v>
      </c>
      <c r="J12" s="105" t="n">
        <v>32</v>
      </c>
      <c r="K12" s="103" t="n">
        <v>14624</v>
      </c>
      <c r="L12" s="103" t="n">
        <v>970</v>
      </c>
    </row>
    <row r="13" ht="15" customHeight="1" s="66">
      <c r="A13" s="94" t="inlineStr">
        <is>
          <t>Weekly Digest</t>
        </is>
      </c>
      <c r="B13" s="94" t="inlineStr">
        <is>
          <t>Newsletter</t>
        </is>
      </c>
      <c r="C13" s="94" t="inlineStr">
        <is>
          <t>2025-05-01</t>
        </is>
      </c>
      <c r="D13" s="97" t="n">
        <v>6791</v>
      </c>
      <c r="E13" s="97" t="n">
        <v>6571</v>
      </c>
      <c r="F13" s="98" t="n">
        <v>0.161418490586747</v>
      </c>
      <c r="G13" s="98" t="n">
        <v>0.109194899607427</v>
      </c>
      <c r="H13" s="98" t="n">
        <v>0.032</v>
      </c>
      <c r="I13" s="97" t="n">
        <v>7</v>
      </c>
      <c r="J13" s="97" t="n">
        <v>23</v>
      </c>
      <c r="K13" s="95" t="n">
        <v>17043</v>
      </c>
      <c r="L13" s="95" t="n">
        <v>746</v>
      </c>
    </row>
    <row r="14" ht="15" customHeight="1" s="66">
      <c r="A14" s="102" t="inlineStr">
        <is>
          <t>Black Friday Offer</t>
        </is>
      </c>
      <c r="B14" s="102" t="inlineStr">
        <is>
          <t>Promotional</t>
        </is>
      </c>
      <c r="C14" s="102" t="inlineStr">
        <is>
          <t>2025-05-13</t>
        </is>
      </c>
      <c r="D14" s="105" t="n">
        <v>25253</v>
      </c>
      <c r="E14" s="105" t="n">
        <v>24954</v>
      </c>
      <c r="F14" s="106" t="n">
        <v>0.38006027912934</v>
      </c>
      <c r="G14" s="106" t="n">
        <v>0.0616546343620253</v>
      </c>
      <c r="H14" s="106" t="n">
        <v>0.012</v>
      </c>
      <c r="I14" s="105" t="n">
        <v>31</v>
      </c>
      <c r="J14" s="105" t="n">
        <v>113</v>
      </c>
      <c r="K14" s="103" t="n">
        <v>50737</v>
      </c>
      <c r="L14" s="103" t="n">
        <v>1065</v>
      </c>
    </row>
    <row r="15" ht="15" customHeight="1" s="66">
      <c r="A15" s="94" t="inlineStr">
        <is>
          <t>Case Study Share</t>
        </is>
      </c>
      <c r="B15" s="94" t="inlineStr">
        <is>
          <t>Drip - Welcome</t>
        </is>
      </c>
      <c r="C15" s="94" t="inlineStr">
        <is>
          <t>2025-05-25</t>
        </is>
      </c>
      <c r="D15" s="97" t="n">
        <v>45642</v>
      </c>
      <c r="E15" s="97" t="n">
        <v>44662</v>
      </c>
      <c r="F15" s="98" t="n">
        <v>0.408601751852967</v>
      </c>
      <c r="G15" s="98" t="n">
        <v>0.0500450268829626</v>
      </c>
      <c r="H15" s="98" t="n">
        <v>0.021</v>
      </c>
      <c r="I15" s="97" t="n">
        <v>113</v>
      </c>
      <c r="J15" s="97" t="n">
        <v>82</v>
      </c>
      <c r="K15" s="95" t="n">
        <v>49856</v>
      </c>
      <c r="L15" s="95" t="n">
        <v>1108</v>
      </c>
    </row>
    <row r="16" ht="15" customHeight="1" s="66">
      <c r="A16" s="102" t="inlineStr">
        <is>
          <t>Demo Request Follow-up</t>
        </is>
      </c>
      <c r="B16" s="102" t="inlineStr">
        <is>
          <t>Drip - Nurture</t>
        </is>
      </c>
      <c r="C16" s="102" t="inlineStr">
        <is>
          <t>2025-06-06</t>
        </is>
      </c>
      <c r="D16" s="105" t="n">
        <v>6303</v>
      </c>
      <c r="E16" s="105" t="n">
        <v>6042</v>
      </c>
      <c r="F16" s="106" t="n">
        <v>0.184292751456483</v>
      </c>
      <c r="G16" s="106" t="n">
        <v>0.0556304253684024</v>
      </c>
      <c r="H16" s="106" t="n">
        <v>0.041</v>
      </c>
      <c r="I16" s="105" t="n">
        <v>14</v>
      </c>
      <c r="J16" s="105" t="n">
        <v>7</v>
      </c>
      <c r="K16" s="103" t="n">
        <v>4858</v>
      </c>
      <c r="L16" s="103" t="n">
        <v>1058</v>
      </c>
    </row>
    <row r="17" ht="15" customHeight="1" s="66">
      <c r="A17" s="94" t="inlineStr">
        <is>
          <t>Free Trial Expiry</t>
        </is>
      </c>
      <c r="B17" s="94" t="inlineStr">
        <is>
          <t>Re-engagement</t>
        </is>
      </c>
      <c r="C17" s="94" t="inlineStr">
        <is>
          <t>2025-06-18</t>
        </is>
      </c>
      <c r="D17" s="97" t="n">
        <v>32430</v>
      </c>
      <c r="E17" s="97" t="n">
        <v>30869</v>
      </c>
      <c r="F17" s="98" t="n">
        <v>0.264892439156076</v>
      </c>
      <c r="G17" s="98" t="n">
        <v>0.08969152130145081</v>
      </c>
      <c r="H17" s="98" t="n">
        <v>0.048</v>
      </c>
      <c r="I17" s="97" t="n">
        <v>32</v>
      </c>
      <c r="J17" s="97" t="n">
        <v>114</v>
      </c>
      <c r="K17" s="95" t="n">
        <v>57798</v>
      </c>
      <c r="L17" s="95" t="n">
        <v>434</v>
      </c>
    </row>
    <row r="18" ht="15" customHeight="1" s="66">
      <c r="A18" s="102" t="inlineStr">
        <is>
          <t>Renewal Reminder</t>
        </is>
      </c>
      <c r="B18" s="102" t="inlineStr">
        <is>
          <t>Product Update</t>
        </is>
      </c>
      <c r="C18" s="102" t="inlineStr">
        <is>
          <t>2025-06-30</t>
        </is>
      </c>
      <c r="D18" s="105" t="n">
        <v>36030</v>
      </c>
      <c r="E18" s="105" t="n">
        <v>35499</v>
      </c>
      <c r="F18" s="106" t="n">
        <v>0.332854207910183</v>
      </c>
      <c r="G18" s="106" t="n">
        <v>0.0384329103479875</v>
      </c>
      <c r="H18" s="106" t="n">
        <v>0.015</v>
      </c>
      <c r="I18" s="105" t="n">
        <v>157</v>
      </c>
      <c r="J18" s="105" t="n">
        <v>52</v>
      </c>
      <c r="K18" s="103" t="n">
        <v>10400</v>
      </c>
      <c r="L18" s="103" t="n">
        <v>1053</v>
      </c>
    </row>
    <row r="19" ht="15" customHeight="1" s="66">
      <c r="A19" s="94" t="inlineStr">
        <is>
          <t>NPS Survey</t>
        </is>
      </c>
      <c r="B19" s="94" t="inlineStr">
        <is>
          <t>Event Invite</t>
        </is>
      </c>
      <c r="C19" s="94" t="inlineStr">
        <is>
          <t>2025-07-12</t>
        </is>
      </c>
      <c r="D19" s="97" t="n">
        <v>29842</v>
      </c>
      <c r="E19" s="97" t="n">
        <v>28779</v>
      </c>
      <c r="F19" s="98" t="n">
        <v>0.428404532908343</v>
      </c>
      <c r="G19" s="98" t="n">
        <v>0.108536445815022</v>
      </c>
      <c r="H19" s="98" t="n">
        <v>0.036</v>
      </c>
      <c r="I19" s="97" t="n">
        <v>88</v>
      </c>
      <c r="J19" s="97" t="n">
        <v>147</v>
      </c>
      <c r="K19" s="95" t="n">
        <v>82908</v>
      </c>
      <c r="L19" s="95" t="n">
        <v>384</v>
      </c>
    </row>
    <row r="20" ht="15" customHeight="1" s="66">
      <c r="A20" s="102" t="inlineStr">
        <is>
          <t>Customer Success Story</t>
        </is>
      </c>
      <c r="B20" s="102" t="inlineStr">
        <is>
          <t>Upsell</t>
        </is>
      </c>
      <c r="C20" s="102" t="inlineStr">
        <is>
          <t>2025-07-24</t>
        </is>
      </c>
      <c r="D20" s="105" t="n">
        <v>2937</v>
      </c>
      <c r="E20" s="105" t="n">
        <v>2814</v>
      </c>
      <c r="F20" s="106" t="n">
        <v>0.256516122280247</v>
      </c>
      <c r="G20" s="106" t="n">
        <v>0.07936738304580949</v>
      </c>
      <c r="H20" s="106" t="n">
        <v>0.042</v>
      </c>
      <c r="I20" s="105" t="n">
        <v>7</v>
      </c>
      <c r="J20" s="105" t="n">
        <v>9</v>
      </c>
      <c r="K20" s="103" t="n">
        <v>2070</v>
      </c>
      <c r="L20" s="103" t="n">
        <v>922</v>
      </c>
    </row>
    <row r="21" ht="15" customHeight="1" s="66">
      <c r="A21" s="94" t="inlineStr">
        <is>
          <t>Product Tips</t>
        </is>
      </c>
      <c r="B21" s="94" t="inlineStr">
        <is>
          <t>Winback</t>
        </is>
      </c>
      <c r="C21" s="94" t="inlineStr">
        <is>
          <t>2025-08-05</t>
        </is>
      </c>
      <c r="D21" s="97" t="n">
        <v>15559</v>
      </c>
      <c r="E21" s="97" t="n">
        <v>15115</v>
      </c>
      <c r="F21" s="98" t="n">
        <v>0.22626810744478</v>
      </c>
      <c r="G21" s="98" t="n">
        <v>0.107693838513861</v>
      </c>
      <c r="H21" s="98" t="n">
        <v>0.029</v>
      </c>
      <c r="I21" s="97" t="n">
        <v>18</v>
      </c>
      <c r="J21" s="97" t="n">
        <v>62</v>
      </c>
      <c r="K21" s="95" t="n">
        <v>20460</v>
      </c>
      <c r="L21" s="95" t="n">
        <v>777</v>
      </c>
    </row>
    <row r="22" ht="15" customHeight="1" s="66">
      <c r="A22" s="102" t="inlineStr">
        <is>
          <t>Milestone Anniversary</t>
        </is>
      </c>
      <c r="B22" s="102" t="inlineStr">
        <is>
          <t>Transactional</t>
        </is>
      </c>
      <c r="C22" s="102" t="inlineStr">
        <is>
          <t>2025-08-17</t>
        </is>
      </c>
      <c r="D22" s="105" t="n">
        <v>5015</v>
      </c>
      <c r="E22" s="105" t="n">
        <v>4775</v>
      </c>
      <c r="F22" s="106" t="n">
        <v>0.340885720836415</v>
      </c>
      <c r="G22" s="106" t="n">
        <v>0.0487189459163331</v>
      </c>
      <c r="H22" s="106" t="n">
        <v>0.048</v>
      </c>
      <c r="I22" s="105" t="n">
        <v>21</v>
      </c>
      <c r="J22" s="105" t="n">
        <v>11</v>
      </c>
      <c r="K22" s="103" t="n">
        <v>3157</v>
      </c>
      <c r="L22" s="103" t="n">
        <v>602</v>
      </c>
    </row>
    <row r="23" ht="15" customHeight="1" s="66">
      <c r="A23" s="94" t="inlineStr">
        <is>
          <t>Q4 Campaign Launch</t>
        </is>
      </c>
      <c r="B23" s="94" t="inlineStr">
        <is>
          <t>Newsletter</t>
        </is>
      </c>
      <c r="C23" s="94" t="inlineStr">
        <is>
          <t>2025-08-29</t>
        </is>
      </c>
      <c r="D23" s="97" t="n">
        <v>7529</v>
      </c>
      <c r="E23" s="97" t="n">
        <v>7147</v>
      </c>
      <c r="F23" s="98" t="n">
        <v>0.365514166515016</v>
      </c>
      <c r="G23" s="98" t="n">
        <v>0.0547046911181787</v>
      </c>
      <c r="H23" s="98" t="n">
        <v>0.051</v>
      </c>
      <c r="I23" s="97" t="n">
        <v>17</v>
      </c>
      <c r="J23" s="97" t="n">
        <v>23</v>
      </c>
      <c r="K23" s="95" t="n">
        <v>16537</v>
      </c>
      <c r="L23" s="95" t="n">
        <v>602</v>
      </c>
    </row>
    <row r="24" ht="15" customHeight="1" s="66">
      <c r="A24" s="102" t="inlineStr">
        <is>
          <t>Holiday Greetings</t>
        </is>
      </c>
      <c r="B24" s="102" t="inlineStr">
        <is>
          <t>Promotional</t>
        </is>
      </c>
      <c r="C24" s="102" t="inlineStr">
        <is>
          <t>2025-09-10</t>
        </is>
      </c>
      <c r="D24" s="105" t="n">
        <v>27127</v>
      </c>
      <c r="E24" s="105" t="n">
        <v>25868</v>
      </c>
      <c r="F24" s="106" t="n">
        <v>0.2628413460159</v>
      </c>
      <c r="G24" s="106" t="n">
        <v>0.06663167483500421</v>
      </c>
      <c r="H24" s="106" t="n">
        <v>0.046</v>
      </c>
      <c r="I24" s="105" t="n">
        <v>92</v>
      </c>
      <c r="J24" s="105" t="n">
        <v>38</v>
      </c>
      <c r="K24" s="103" t="n">
        <v>23218</v>
      </c>
      <c r="L24" s="103" t="n">
        <v>1109</v>
      </c>
    </row>
    <row r="25" ht="15" customHeight="1" s="66">
      <c r="A25" s="94" t="inlineStr">
        <is>
          <t>Year in Review</t>
        </is>
      </c>
      <c r="B25" s="94" t="inlineStr">
        <is>
          <t>Drip - Welcome</t>
        </is>
      </c>
      <c r="C25" s="94" t="inlineStr">
        <is>
          <t>2025-09-22</t>
        </is>
      </c>
      <c r="D25" s="97" t="n">
        <v>25709</v>
      </c>
      <c r="E25" s="97" t="n">
        <v>25374</v>
      </c>
      <c r="F25" s="98" t="n">
        <v>0.237691328661788</v>
      </c>
      <c r="G25" s="98" t="n">
        <v>0.0967744073949782</v>
      </c>
      <c r="H25" s="98" t="n">
        <v>0.013</v>
      </c>
      <c r="I25" s="97" t="n">
        <v>62</v>
      </c>
      <c r="J25" s="97" t="n">
        <v>109</v>
      </c>
      <c r="K25" s="95" t="n">
        <v>47524</v>
      </c>
      <c r="L25" s="95" t="n">
        <v>1025</v>
      </c>
    </row>
    <row r="26" ht="15" customHeight="1" s="66">
      <c r="A26" s="102" t="inlineStr">
        <is>
          <t>Referral Program</t>
        </is>
      </c>
      <c r="B26" s="102" t="inlineStr">
        <is>
          <t>Drip - Nurture</t>
        </is>
      </c>
      <c r="C26" s="102" t="inlineStr">
        <is>
          <t>2025-10-04</t>
        </is>
      </c>
      <c r="D26" s="105" t="n">
        <v>34193</v>
      </c>
      <c r="E26" s="105" t="n">
        <v>33652</v>
      </c>
      <c r="F26" s="106" t="n">
        <v>0.35462076777607</v>
      </c>
      <c r="G26" s="106" t="n">
        <v>0.11487497703679</v>
      </c>
      <c r="H26" s="106" t="n">
        <v>0.016</v>
      </c>
      <c r="I26" s="105" t="n">
        <v>159</v>
      </c>
      <c r="J26" s="105" t="n">
        <v>252</v>
      </c>
      <c r="K26" s="103" t="n">
        <v>163800</v>
      </c>
      <c r="L26" s="103" t="n">
        <v>310</v>
      </c>
    </row>
    <row r="27" ht="15" customHeight="1" s="66">
      <c r="A27" s="94" t="inlineStr">
        <is>
          <t>Community Invite</t>
        </is>
      </c>
      <c r="B27" s="94" t="inlineStr">
        <is>
          <t>Re-engagement</t>
        </is>
      </c>
      <c r="C27" s="94" t="inlineStr">
        <is>
          <t>2025-10-16</t>
        </is>
      </c>
      <c r="D27" s="97" t="n">
        <v>14725</v>
      </c>
      <c r="E27" s="97" t="n">
        <v>14329</v>
      </c>
      <c r="F27" s="98" t="n">
        <v>0.435285235161409</v>
      </c>
      <c r="G27" s="98" t="n">
        <v>0.0385071052446604</v>
      </c>
      <c r="H27" s="98" t="n">
        <v>0.027</v>
      </c>
      <c r="I27" s="97" t="n">
        <v>45</v>
      </c>
      <c r="J27" s="97" t="n">
        <v>42</v>
      </c>
      <c r="K27" s="95" t="n">
        <v>11466</v>
      </c>
      <c r="L27" s="95" t="n">
        <v>724</v>
      </c>
    </row>
    <row r="28" ht="15" customHeight="1" s="66">
      <c r="A28" s="102" t="inlineStr">
        <is>
          <t>Certification Launch</t>
        </is>
      </c>
      <c r="B28" s="102" t="inlineStr">
        <is>
          <t>Product Update</t>
        </is>
      </c>
      <c r="C28" s="102" t="inlineStr">
        <is>
          <t>2025-10-28</t>
        </is>
      </c>
      <c r="D28" s="105" t="n">
        <v>7062</v>
      </c>
      <c r="E28" s="105" t="n">
        <v>6784</v>
      </c>
      <c r="F28" s="106" t="n">
        <v>0.222952901342772</v>
      </c>
      <c r="G28" s="106" t="n">
        <v>0.0533131377752424</v>
      </c>
      <c r="H28" s="106" t="n">
        <v>0.039</v>
      </c>
      <c r="I28" s="105" t="n">
        <v>26</v>
      </c>
      <c r="J28" s="105" t="n">
        <v>8</v>
      </c>
      <c r="K28" s="103" t="n">
        <v>4200</v>
      </c>
      <c r="L28" s="103" t="n">
        <v>351</v>
      </c>
    </row>
    <row r="29" ht="15" customHeight="1" s="66">
      <c r="A29" s="94" t="inlineStr">
        <is>
          <t>Partner Announcement</t>
        </is>
      </c>
      <c r="B29" s="94" t="inlineStr">
        <is>
          <t>Event Invite</t>
        </is>
      </c>
      <c r="C29" s="94" t="inlineStr">
        <is>
          <t>2025-11-09</t>
        </is>
      </c>
      <c r="D29" s="97" t="n">
        <v>23414</v>
      </c>
      <c r="E29" s="97" t="n">
        <v>22498</v>
      </c>
      <c r="F29" s="98" t="n">
        <v>0.440541528683734</v>
      </c>
      <c r="G29" s="98" t="n">
        <v>0.0829335037208682</v>
      </c>
      <c r="H29" s="98" t="n">
        <v>0.039</v>
      </c>
      <c r="I29" s="97" t="n">
        <v>105</v>
      </c>
      <c r="J29" s="97" t="n">
        <v>105</v>
      </c>
      <c r="K29" s="95" t="n">
        <v>20790</v>
      </c>
      <c r="L29" s="95" t="n">
        <v>980</v>
      </c>
    </row>
    <row r="30" ht="15" customHeight="1" s="66">
      <c r="A30" s="102" t="inlineStr">
        <is>
          <t>Feedback Request</t>
        </is>
      </c>
      <c r="B30" s="102" t="inlineStr">
        <is>
          <t>Upsell</t>
        </is>
      </c>
      <c r="C30" s="102" t="inlineStr">
        <is>
          <t>2025-11-21</t>
        </is>
      </c>
      <c r="D30" s="105" t="n">
        <v>33247</v>
      </c>
      <c r="E30" s="105" t="n">
        <v>31741</v>
      </c>
      <c r="F30" s="106" t="n">
        <v>0.249463860162978</v>
      </c>
      <c r="G30" s="106" t="n">
        <v>0.0481698414462676</v>
      </c>
      <c r="H30" s="106" t="n">
        <v>0.045</v>
      </c>
      <c r="I30" s="105" t="n">
        <v>141</v>
      </c>
      <c r="J30" s="105" t="n">
        <v>61</v>
      </c>
      <c r="K30" s="103" t="n">
        <v>24339</v>
      </c>
      <c r="L30" s="103" t="n">
        <v>650</v>
      </c>
    </row>
    <row r="31" ht="15" customHeight="1" s="66">
      <c r="A31" s="94" t="inlineStr">
        <is>
          <t>Early Access Offer</t>
        </is>
      </c>
      <c r="B31" s="94" t="inlineStr">
        <is>
          <t>Winback</t>
        </is>
      </c>
      <c r="C31" s="94" t="inlineStr">
        <is>
          <t>2025-12-03</t>
        </is>
      </c>
      <c r="D31" s="97" t="n">
        <v>16253</v>
      </c>
      <c r="E31" s="97" t="n">
        <v>16022</v>
      </c>
      <c r="F31" s="98" t="n">
        <v>0.209002179329081</v>
      </c>
      <c r="G31" s="98" t="n">
        <v>0.0417147378309729</v>
      </c>
      <c r="H31" s="98" t="n">
        <v>0.014</v>
      </c>
      <c r="I31" s="97" t="n">
        <v>24</v>
      </c>
      <c r="J31" s="97" t="n">
        <v>24</v>
      </c>
      <c r="K31" s="95" t="n">
        <v>15936</v>
      </c>
      <c r="L31" s="95" t="n">
        <v>630</v>
      </c>
    </row>
    <row r="32" ht="15" customHeight="1" s="66">
      <c r="A32" s="102" t="inlineStr">
        <is>
          <t>Account Health Check</t>
        </is>
      </c>
      <c r="B32" s="102" t="inlineStr">
        <is>
          <t>Transactional</t>
        </is>
      </c>
      <c r="C32" s="102" t="inlineStr">
        <is>
          <t>2025-12-15</t>
        </is>
      </c>
      <c r="D32" s="105" t="n">
        <v>17307</v>
      </c>
      <c r="E32" s="105" t="n">
        <v>16772</v>
      </c>
      <c r="F32" s="106" t="n">
        <v>0.347393355450921</v>
      </c>
      <c r="G32" s="106" t="n">
        <v>0.0826498281477475</v>
      </c>
      <c r="H32" s="106" t="n">
        <v>0.031</v>
      </c>
      <c r="I32" s="105" t="n">
        <v>40</v>
      </c>
      <c r="J32" s="105" t="n">
        <v>68</v>
      </c>
      <c r="K32" s="103" t="n">
        <v>12920</v>
      </c>
      <c r="L32" s="103" t="n">
        <v>832</v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5" min="1" max="1"/>
    <col width="14" customWidth="1" style="65" min="2" max="2"/>
    <col width="45" customWidth="1" style="65" min="3" max="3"/>
  </cols>
  <sheetData>
    <row r="1" ht="27.75" customHeight="1" s="66">
      <c r="A1" s="124" t="inlineStr">
        <is>
          <t>MARKETING DASHBOARD SETTINGS &amp; BENCHMARKS</t>
        </is>
      </c>
    </row>
    <row r="3" ht="15" customHeight="1" s="66">
      <c r="A3" s="125" t="inlineStr">
        <is>
          <t>Setting</t>
        </is>
      </c>
      <c r="B3" s="125" t="inlineStr">
        <is>
          <t>Value</t>
        </is>
      </c>
      <c r="C3" s="125" t="inlineStr">
        <is>
          <t>Description</t>
        </is>
      </c>
    </row>
    <row r="4" ht="15.75" customHeight="1" s="66">
      <c r="A4" s="126" t="inlineStr">
        <is>
          <t>Annual Marketing Budget</t>
        </is>
      </c>
      <c r="B4" s="127" t="n">
        <v>871000</v>
      </c>
      <c r="C4" s="115" t="inlineStr">
        <is>
          <t>Total FY2025 marketing spend</t>
        </is>
      </c>
    </row>
    <row r="5" ht="15.75" customHeight="1" s="66">
      <c r="A5" s="128" t="inlineStr">
        <is>
          <t>Revenue Target</t>
        </is>
      </c>
      <c r="B5" s="127" t="n">
        <v>3500000</v>
      </c>
      <c r="C5" s="117" t="inlineStr">
        <is>
          <t>Total revenue target from marketing</t>
        </is>
      </c>
    </row>
    <row r="6" ht="15.75" customHeight="1" s="66">
      <c r="A6" s="126" t="inlineStr">
        <is>
          <t>Target Overall ROI</t>
        </is>
      </c>
      <c r="B6" s="129" t="n">
        <v>3</v>
      </c>
      <c r="C6" s="115" t="inlineStr">
        <is>
          <t>3x return on marketing spend</t>
        </is>
      </c>
    </row>
    <row r="7" ht="15.75" customHeight="1" s="66">
      <c r="A7" s="128" t="inlineStr">
        <is>
          <t>Target CPA</t>
        </is>
      </c>
      <c r="B7" s="127" t="n">
        <v>85</v>
      </c>
      <c r="C7" s="117" t="inlineStr">
        <is>
          <t>Target cost per acquisition</t>
        </is>
      </c>
    </row>
    <row r="8" ht="15.75" customHeight="1" s="66">
      <c r="A8" s="126" t="inlineStr">
        <is>
          <t>Target Conv Rate</t>
        </is>
      </c>
      <c r="B8" s="130" t="n">
        <v>0.08</v>
      </c>
      <c r="C8" s="115" t="inlineStr">
        <is>
          <t>8% lead-to-customer conversion</t>
        </is>
      </c>
    </row>
    <row r="9" ht="15.75" customHeight="1" s="66">
      <c r="A9" s="128" t="inlineStr">
        <is>
          <t>Target Email Open Rate</t>
        </is>
      </c>
      <c r="B9" s="130" t="n">
        <v>0.25</v>
      </c>
      <c r="C9" s="117" t="inlineStr">
        <is>
          <t>25% benchmark open rate</t>
        </is>
      </c>
    </row>
    <row r="10" ht="15.75" customHeight="1" s="66">
      <c r="A10" s="126" t="inlineStr">
        <is>
          <t>Target Email CTR</t>
        </is>
      </c>
      <c r="B10" s="130" t="n">
        <v>0.04</v>
      </c>
      <c r="C10" s="115" t="inlineStr">
        <is>
          <t>4% benchmark click-through rate</t>
        </is>
      </c>
    </row>
    <row r="11" ht="15.75" customHeight="1" s="66">
      <c r="A11" s="128" t="inlineStr">
        <is>
          <t>Target Organic Traffic Growth</t>
        </is>
      </c>
      <c r="B11" s="130" t="n">
        <v>0.15</v>
      </c>
      <c r="C11" s="117" t="inlineStr">
        <is>
          <t>15% YoY organic growth</t>
        </is>
      </c>
    </row>
    <row r="12" ht="15.75" customHeight="1" s="66">
      <c r="A12" s="126" t="inlineStr">
        <is>
          <t>Avg Customer LTV</t>
        </is>
      </c>
      <c r="B12" s="127" t="n">
        <v>750</v>
      </c>
      <c r="C12" s="115" t="inlineStr">
        <is>
          <t>Lifetime value assumption</t>
        </is>
      </c>
    </row>
    <row r="13" ht="15.75" customHeight="1" s="66">
      <c r="A13" s="128" t="inlineStr">
        <is>
          <t>CAC Payback Period (months)</t>
        </is>
      </c>
      <c r="B13" s="131" t="n">
        <v>12</v>
      </c>
      <c r="C13" s="117" t="inlineStr">
        <is>
          <t>Months to recover acquisition cost</t>
        </is>
      </c>
    </row>
    <row r="14" ht="15.75" customHeight="1" s="66">
      <c r="A14" s="126" t="inlineStr">
        <is>
          <t>Target ROAS (Paid)</t>
        </is>
      </c>
      <c r="B14" s="129" t="n">
        <v>3.5</v>
      </c>
      <c r="C14" s="115" t="inlineStr">
        <is>
          <t>Return on ad spend target</t>
        </is>
      </c>
    </row>
    <row r="15" ht="15.75" customHeight="1" s="66">
      <c r="A15" s="128" t="inlineStr">
        <is>
          <t>Brand Awareness Budget %</t>
        </is>
      </c>
      <c r="B15" s="130" t="n">
        <v>0.2</v>
      </c>
      <c r="C15" s="117" t="inlineStr">
        <is>
          <t>Share of budget for brand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2026-05-11T20:37:55Z</dcterms:created>
  <dcterms:modified xmlns:dcterms="http://purl.org/dc/terms/" xmlns:xsi="http://www.w3.org/2001/XMLSchema-instance" xsi:type="dcterms:W3CDTF">2026-05-12T22:46:32Z</dcterms:modified>
  <cp:revision>0</cp:revision>
</cp:coreProperties>
</file>