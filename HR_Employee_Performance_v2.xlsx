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HR Dashboard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Compensation Analysis" sheetId="3" state="visible" r:id="rId3"/>
    <sheet xmlns:r="http://schemas.openxmlformats.org/officeDocument/2006/relationships" name="Recruitment Pipeline" sheetId="4" state="visible" r:id="rId4"/>
    <sheet xmlns:r="http://schemas.openxmlformats.org/officeDocument/2006/relationships" name="⚙️ Setting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"/>
    <numFmt numFmtId="166" formatCode="0.0%"/>
    <numFmt numFmtId="167" formatCode="\+#,##0;\-#,##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00008B"/>
      <sz val="10"/>
    </font>
    <font>
      <name val="Arial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DEEAF1"/>
      </patternFill>
    </fill>
    <fill>
      <patternFill patternType="solid">
        <fgColor rgb="FFBDD7EE"/>
        <bgColor rgb="FFD5E8D4"/>
      </patternFill>
    </fill>
    <fill>
      <patternFill patternType="solid">
        <fgColor rgb="FFFFFFFF"/>
        <bgColor rgb="FFEBF3FB"/>
      </patternFill>
    </fill>
    <fill>
      <patternFill patternType="solid">
        <fgColor rgb="FFD5E8D4"/>
        <bgColor rgb="FFDEEAF1"/>
      </patternFill>
    </fill>
    <fill>
      <patternFill patternType="solid">
        <fgColor rgb="FFFFE6CC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002E5FA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49" fontId="10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9" fontId="10" fillId="9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center" vertical="center"/>
    </xf>
    <xf numFmtId="49" fontId="10" fillId="11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9" fontId="10" fillId="11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166" fontId="12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166" fontId="13" fillId="12" borderId="1" applyAlignment="1" pivotButton="0" quotePrefix="0" xfId="0">
      <alignment horizontal="right" vertical="center"/>
    </xf>
    <xf numFmtId="164" fontId="13" fillId="12" borderId="1" applyAlignment="1" pivotButton="0" quotePrefix="0" xfId="0">
      <alignment horizontal="right" vertical="center"/>
    </xf>
    <xf numFmtId="165" fontId="13" fillId="12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166" fontId="13" fillId="11" borderId="1" applyAlignment="1" pivotButton="0" quotePrefix="0" xfId="0">
      <alignment horizontal="right" vertical="center"/>
    </xf>
    <xf numFmtId="164" fontId="13" fillId="11" borderId="1" applyAlignment="1" pivotButton="0" quotePrefix="0" xfId="0">
      <alignment horizontal="right" vertical="center"/>
    </xf>
    <xf numFmtId="165" fontId="13" fillId="11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166" fontId="13" fillId="13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165" fontId="13" fillId="13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6" fontId="12" fillId="8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49" fontId="10" fillId="9" borderId="1" applyAlignment="1" pivotButton="0" quotePrefix="0" xfId="0">
      <alignment horizontal="center" vertical="center"/>
    </xf>
    <xf numFmtId="49" fontId="10" fillId="11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3" fontId="11" fillId="11" borderId="1" applyAlignment="1" pivotButton="0" quotePrefix="0" xfId="0">
      <alignment horizontal="right" vertical="center"/>
    </xf>
    <xf numFmtId="167" fontId="11" fillId="11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49" fontId="10" fillId="9" borderId="1" applyAlignment="1" pivotButton="0" quotePrefix="0" xfId="0">
      <alignment horizontal="right" vertical="center"/>
    </xf>
    <xf numFmtId="1" fontId="10" fillId="9" borderId="1" applyAlignment="1" pivotButton="0" quotePrefix="0" xfId="0">
      <alignment horizontal="right" vertical="center"/>
    </xf>
    <xf numFmtId="49" fontId="10" fillId="11" borderId="1" applyAlignment="1" pivotButton="0" quotePrefix="0" xfId="0">
      <alignment horizontal="right" vertical="center"/>
    </xf>
    <xf numFmtId="1" fontId="10" fillId="11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2" fontId="10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2" fontId="10" fillId="11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3" fontId="15" fillId="14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164" fontId="15" fillId="14" borderId="1" applyAlignment="1" pivotButton="0" quotePrefix="0" xfId="0">
      <alignment horizontal="right" vertical="center"/>
    </xf>
    <xf numFmtId="9" fontId="15" fillId="14" borderId="1" applyAlignment="1" pivotButton="0" quotePrefix="0" xfId="0">
      <alignment horizontal="right" vertical="center"/>
    </xf>
    <xf numFmtId="165" fontId="15" fillId="1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6" fillId="1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49" fontId="10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9" fontId="10" fillId="9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center" vertical="center"/>
    </xf>
    <xf numFmtId="49" fontId="10" fillId="11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9" fontId="10" fillId="11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166" fontId="12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166" fontId="13" fillId="12" borderId="1" applyAlignment="1" pivotButton="0" quotePrefix="0" xfId="0">
      <alignment horizontal="right" vertical="center"/>
    </xf>
    <xf numFmtId="164" fontId="13" fillId="12" borderId="1" applyAlignment="1" pivotButton="0" quotePrefix="0" xfId="0">
      <alignment horizontal="right" vertical="center"/>
    </xf>
    <xf numFmtId="165" fontId="13" fillId="12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166" fontId="13" fillId="11" borderId="1" applyAlignment="1" pivotButton="0" quotePrefix="0" xfId="0">
      <alignment horizontal="right" vertical="center"/>
    </xf>
    <xf numFmtId="164" fontId="13" fillId="11" borderId="1" applyAlignment="1" pivotButton="0" quotePrefix="0" xfId="0">
      <alignment horizontal="right" vertical="center"/>
    </xf>
    <xf numFmtId="165" fontId="13" fillId="11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166" fontId="13" fillId="13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165" fontId="13" fillId="13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6" fontId="12" fillId="8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49" fontId="10" fillId="9" borderId="1" applyAlignment="1" pivotButton="0" quotePrefix="0" xfId="0">
      <alignment horizontal="center" vertical="center"/>
    </xf>
    <xf numFmtId="49" fontId="10" fillId="11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3" fontId="11" fillId="11" borderId="1" applyAlignment="1" pivotButton="0" quotePrefix="0" xfId="0">
      <alignment horizontal="right" vertical="center"/>
    </xf>
    <xf numFmtId="167" fontId="11" fillId="11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49" fontId="10" fillId="9" borderId="1" applyAlignment="1" pivotButton="0" quotePrefix="0" xfId="0">
      <alignment horizontal="right" vertical="center"/>
    </xf>
    <xf numFmtId="1" fontId="10" fillId="9" borderId="1" applyAlignment="1" pivotButton="0" quotePrefix="0" xfId="0">
      <alignment horizontal="right" vertical="center"/>
    </xf>
    <xf numFmtId="49" fontId="10" fillId="11" borderId="1" applyAlignment="1" pivotButton="0" quotePrefix="0" xfId="0">
      <alignment horizontal="right" vertical="center"/>
    </xf>
    <xf numFmtId="1" fontId="10" fillId="11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2" fontId="10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2" fontId="10" fillId="11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3" fontId="15" fillId="14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164" fontId="15" fillId="14" borderId="1" applyAlignment="1" pivotButton="0" quotePrefix="0" xfId="0">
      <alignment horizontal="right" vertical="center"/>
    </xf>
    <xf numFmtId="9" fontId="15" fillId="14" borderId="1" applyAlignment="1" pivotButton="0" quotePrefix="0" xfId="0">
      <alignment horizontal="right" vertical="center"/>
    </xf>
    <xf numFmtId="165" fontId="15" fillId="1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7030A0"/>
      <rgbColor rgb="FFFFE6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5E8D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6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89" min="1" max="1"/>
    <col width="14" customWidth="1" style="89" min="2" max="2"/>
    <col width="13" customWidth="1" style="89" min="3" max="8"/>
    <col width="12" customWidth="1" style="89" min="9" max="20"/>
  </cols>
  <sheetData>
    <row r="1" ht="30" customHeight="1" s="90">
      <c r="A1" s="91" t="inlineStr">
        <is>
          <t>HR &amp; EMPLOYEE PERFORMANCE DASHBOARD  |  FY 2026</t>
        </is>
      </c>
    </row>
    <row r="2" ht="18" customHeight="1" s="90"/>
    <row r="3" ht="18" customHeight="1" s="90">
      <c r="A3" s="92" t="inlineStr">
        <is>
          <t>Farhan Siddique | Virtual Assistant &amp; Data Specialist | May 2026</t>
        </is>
      </c>
    </row>
    <row r="4">
      <c r="A4" s="93" t="inlineStr">
        <is>
          <t>People Analytics  |  Workforce Insights  |  Performance Management  |  Live data from 'Employee Data' sheet</t>
        </is>
      </c>
    </row>
    <row r="5" ht="13.5" customHeight="1" s="90"/>
    <row r="6" ht="30" customHeight="1" s="90">
      <c r="A6" s="94" t="inlineStr">
        <is>
          <t>Total Headcount</t>
        </is>
      </c>
      <c r="C6" s="95" t="inlineStr">
        <is>
          <t>Total Payroll</t>
        </is>
      </c>
      <c r="E6" s="96" t="inlineStr">
        <is>
          <t>Avg Salary</t>
        </is>
      </c>
      <c r="G6" s="97" t="inlineStr">
        <is>
          <t>Avg Performance</t>
        </is>
      </c>
      <c r="I6" s="94" t="inlineStr">
        <is>
          <t>Avg Attendance %</t>
        </is>
      </c>
      <c r="K6" s="98" t="inlineStr">
        <is>
          <t>Avg Tenure (yrs)</t>
        </is>
      </c>
      <c r="M6" s="96" t="inlineStr">
        <is>
          <t>Training Hrs/Emp</t>
        </is>
      </c>
      <c r="O6" s="99" t="inlineStr">
        <is>
          <t>Turnover Rate</t>
        </is>
      </c>
    </row>
    <row r="7" ht="13.5" customHeight="1" s="90">
      <c r="A7" s="100">
        <f>COUNTA('Employee Data'!A2:A101)</f>
        <v/>
      </c>
      <c r="C7" s="101">
        <f>SUM('Employee Data'!F2:F101)</f>
        <v/>
      </c>
      <c r="E7" s="102">
        <f>AVERAGE('Employee Data'!F2:F101)</f>
        <v/>
      </c>
      <c r="G7" s="103">
        <f>AVERAGE('Employee Data'!L2:L101)</f>
        <v/>
      </c>
      <c r="I7" s="104">
        <f>AVERAGE('Employee Data'!M2:M101)</f>
        <v/>
      </c>
      <c r="K7" s="105">
        <f>AVERAGE('Employee Data'!E2:E101)</f>
        <v/>
      </c>
      <c r="M7" s="106">
        <f>AVERAGE('Employee Data'!N2:N101)</f>
        <v/>
      </c>
      <c r="O7" s="107">
        <f>COUNTIF('Employee Data'!P2:P101,"Resigned")/COUNTA('Employee Data'!A2:A101)</f>
        <v/>
      </c>
    </row>
    <row r="8">
      <c r="A8" s="108" t="n"/>
      <c r="C8" s="109" t="n"/>
      <c r="E8" s="110" t="n"/>
      <c r="G8" s="111" t="n"/>
      <c r="I8" s="108" t="n"/>
      <c r="K8" s="112" t="n"/>
      <c r="M8" s="110" t="n"/>
      <c r="O8" s="113" t="n"/>
    </row>
    <row r="9" ht="19.5" customHeight="1" s="90"/>
    <row r="10" ht="30" customHeight="1" s="90">
      <c r="A10" s="114" t="inlineStr">
        <is>
          <t>DEPARTMENT PERFORMANCE SUMMARY</t>
        </is>
      </c>
    </row>
    <row r="11" ht="15.75" customHeight="1" s="90">
      <c r="A11" s="115" t="inlineStr">
        <is>
          <t>Department</t>
        </is>
      </c>
      <c r="B11" s="115" t="inlineStr">
        <is>
          <t>Headcount</t>
        </is>
      </c>
      <c r="C11" s="115" t="inlineStr">
        <is>
          <t>Total Salary</t>
        </is>
      </c>
      <c r="D11" s="115" t="inlineStr">
        <is>
          <t>Avg Salary</t>
        </is>
      </c>
      <c r="E11" s="115" t="inlineStr">
        <is>
          <t>Avg Performance</t>
        </is>
      </c>
      <c r="F11" s="115" t="inlineStr">
        <is>
          <t>Avg Attendance</t>
        </is>
      </c>
      <c r="G11" s="115" t="inlineStr">
        <is>
          <t>Training Hrs</t>
        </is>
      </c>
      <c r="H11" s="115" t="inlineStr">
        <is>
          <t>Open Roles</t>
        </is>
      </c>
      <c r="I11" s="115" t="inlineStr">
        <is>
          <t>Budget Util%</t>
        </is>
      </c>
      <c r="J11" s="115" t="inlineStr">
        <is>
          <t>Turnover</t>
        </is>
      </c>
      <c r="K11" s="115" t="inlineStr">
        <is>
          <t>Promotions</t>
        </is>
      </c>
      <c r="L11" s="115" t="inlineStr">
        <is>
          <t>Score</t>
        </is>
      </c>
    </row>
    <row r="12" ht="15.75" customHeight="1" s="90">
      <c r="A12" s="116" t="inlineStr">
        <is>
          <t>Engineering</t>
        </is>
      </c>
      <c r="B12" s="117" t="n">
        <v>22</v>
      </c>
      <c r="C12" s="118" t="n">
        <v>2640000</v>
      </c>
      <c r="D12" s="118">
        <f>IFERROR(C11/B11,0)</f>
        <v/>
      </c>
      <c r="E12" s="119" t="n">
        <v>1.00615189864296</v>
      </c>
      <c r="F12" s="120" t="n">
        <v>0.908954806642179</v>
      </c>
      <c r="G12" s="117" t="n">
        <v>30</v>
      </c>
      <c r="H12" s="117" t="n">
        <v>2</v>
      </c>
      <c r="I12" s="121" t="n">
        <v>0.9783325667217529</v>
      </c>
      <c r="J12" s="120" t="n">
        <v>0.047039151841868</v>
      </c>
      <c r="K12" s="117" t="n">
        <v>1</v>
      </c>
      <c r="L12" s="122">
        <f>ROUND((E11/5*0.4+F11*0.3+I11*0.3)*10,1)</f>
        <v/>
      </c>
    </row>
    <row r="13" ht="15.75" customHeight="1" s="90">
      <c r="A13" s="123" t="inlineStr">
        <is>
          <t>Marketing</t>
        </is>
      </c>
      <c r="B13" s="124" t="n">
        <v>14</v>
      </c>
      <c r="C13" s="125" t="n">
        <v>1260000</v>
      </c>
      <c r="D13" s="125">
        <f>IFERROR(C12/B12,0)</f>
        <v/>
      </c>
      <c r="E13" s="126" t="n">
        <v>0.794386970449947</v>
      </c>
      <c r="F13" s="127" t="n">
        <v>0.964278309674818</v>
      </c>
      <c r="G13" s="124" t="n">
        <v>48</v>
      </c>
      <c r="H13" s="124" t="n">
        <v>1</v>
      </c>
      <c r="I13" s="128" t="n">
        <v>0.926010626769507</v>
      </c>
      <c r="J13" s="127" t="n">
        <v>0.0288755643210958</v>
      </c>
      <c r="K13" s="124" t="n">
        <v>2</v>
      </c>
      <c r="L13" s="122">
        <f>ROUND((E12/5*0.4+F12*0.3+I12*0.3)*10,1)</f>
        <v/>
      </c>
    </row>
    <row r="14" ht="15.75" customHeight="1" s="90">
      <c r="A14" s="116" t="inlineStr">
        <is>
          <t>Sales</t>
        </is>
      </c>
      <c r="B14" s="117" t="n">
        <v>18</v>
      </c>
      <c r="C14" s="118" t="n">
        <v>1890000</v>
      </c>
      <c r="D14" s="118">
        <f>IFERROR(C13/B13,0)</f>
        <v/>
      </c>
      <c r="E14" s="119" t="n">
        <v>1.12165712376932</v>
      </c>
      <c r="F14" s="120" t="n">
        <v>0.952958374722537</v>
      </c>
      <c r="G14" s="117" t="n">
        <v>30</v>
      </c>
      <c r="H14" s="117" t="n">
        <v>3</v>
      </c>
      <c r="I14" s="121" t="n">
        <v>0.928528957687782</v>
      </c>
      <c r="J14" s="120" t="n">
        <v>0.0316562618359102</v>
      </c>
      <c r="K14" s="117" t="n">
        <v>3</v>
      </c>
      <c r="L14" s="122">
        <f>ROUND((E13/5*0.4+F13*0.3+I13*0.3)*10,1)</f>
        <v/>
      </c>
    </row>
    <row r="15" ht="15.75" customHeight="1" s="90">
      <c r="A15" s="123" t="inlineStr">
        <is>
          <t>Finance</t>
        </is>
      </c>
      <c r="B15" s="124" t="n">
        <v>8</v>
      </c>
      <c r="C15" s="125" t="n">
        <v>880000</v>
      </c>
      <c r="D15" s="125">
        <f>IFERROR(C14/B14,0)</f>
        <v/>
      </c>
      <c r="E15" s="126" t="n">
        <v>0.82436516457304</v>
      </c>
      <c r="F15" s="127" t="n">
        <v>0.888101794962768</v>
      </c>
      <c r="G15" s="124" t="n">
        <v>42</v>
      </c>
      <c r="H15" s="124" t="n">
        <v>0</v>
      </c>
      <c r="I15" s="128" t="n">
        <v>0.992110229742062</v>
      </c>
      <c r="J15" s="127" t="n">
        <v>0.102232736852069</v>
      </c>
      <c r="K15" s="124" t="n">
        <v>1</v>
      </c>
      <c r="L15" s="122">
        <f>ROUND((E14/5*0.4+F14*0.3+I14*0.3)*10,1)</f>
        <v/>
      </c>
    </row>
    <row r="16" ht="15.75" customHeight="1" s="90">
      <c r="A16" s="116" t="inlineStr">
        <is>
          <t>HR</t>
        </is>
      </c>
      <c r="B16" s="117" t="n">
        <v>6</v>
      </c>
      <c r="C16" s="118" t="n">
        <v>540000</v>
      </c>
      <c r="D16" s="118">
        <f>IFERROR(C15/B15,0)</f>
        <v/>
      </c>
      <c r="E16" s="119" t="n">
        <v>0.691079155702129</v>
      </c>
      <c r="F16" s="120" t="n">
        <v>0.938442367345772</v>
      </c>
      <c r="G16" s="117" t="n">
        <v>36</v>
      </c>
      <c r="H16" s="117" t="n">
        <v>1</v>
      </c>
      <c r="I16" s="121" t="n">
        <v>0.943625508280358</v>
      </c>
      <c r="J16" s="120" t="n">
        <v>0.113220617834765</v>
      </c>
      <c r="K16" s="117" t="n">
        <v>0</v>
      </c>
      <c r="L16" s="122">
        <f>ROUND((E15/5*0.4+F15*0.3+I15*0.3)*10,1)</f>
        <v/>
      </c>
    </row>
    <row r="17" ht="15.75" customHeight="1" s="90">
      <c r="A17" s="123" t="inlineStr">
        <is>
          <t>Operations</t>
        </is>
      </c>
      <c r="B17" s="124" t="n">
        <v>12</v>
      </c>
      <c r="C17" s="125" t="n">
        <v>1080000</v>
      </c>
      <c r="D17" s="125">
        <f>IFERROR(C16/B16,0)</f>
        <v/>
      </c>
      <c r="E17" s="126" t="n">
        <v>0.93565538153115</v>
      </c>
      <c r="F17" s="127" t="n">
        <v>0.978476328473073</v>
      </c>
      <c r="G17" s="124" t="n">
        <v>26</v>
      </c>
      <c r="H17" s="124" t="n">
        <v>2</v>
      </c>
      <c r="I17" s="128" t="n">
        <v>0.998086529188161</v>
      </c>
      <c r="J17" s="127" t="n">
        <v>0.0463924450910459</v>
      </c>
      <c r="K17" s="124" t="n">
        <v>1</v>
      </c>
      <c r="L17" s="122">
        <f>ROUND((E16/5*0.4+F16*0.3+I16*0.3)*10,1)</f>
        <v/>
      </c>
    </row>
    <row r="18" ht="15.75" customHeight="1" s="90">
      <c r="A18" s="116" t="inlineStr">
        <is>
          <t>Customer Success</t>
        </is>
      </c>
      <c r="B18" s="117" t="n">
        <v>10</v>
      </c>
      <c r="C18" s="118" t="n">
        <v>900000</v>
      </c>
      <c r="D18" s="118">
        <f>IFERROR(C17/B17,0)</f>
        <v/>
      </c>
      <c r="E18" s="119" t="n">
        <v>1.09551789420905</v>
      </c>
      <c r="F18" s="120" t="n">
        <v>0.888342467018752</v>
      </c>
      <c r="G18" s="117" t="n">
        <v>35</v>
      </c>
      <c r="H18" s="117" t="n">
        <v>1</v>
      </c>
      <c r="I18" s="121" t="n">
        <v>0.985082762262173</v>
      </c>
      <c r="J18" s="120" t="n">
        <v>0.0282202891281994</v>
      </c>
      <c r="K18" s="117" t="n">
        <v>2</v>
      </c>
      <c r="L18" s="122">
        <f>ROUND((E17/5*0.4+F17*0.3+I17*0.3)*10,1)</f>
        <v/>
      </c>
    </row>
    <row r="19" ht="15.75" customHeight="1" s="90">
      <c r="A19" s="123" t="inlineStr">
        <is>
          <t>Product</t>
        </is>
      </c>
      <c r="B19" s="124" t="n">
        <v>8</v>
      </c>
      <c r="C19" s="125" t="n">
        <v>960000</v>
      </c>
      <c r="D19" s="125">
        <f>IFERROR(C18/B18,0)</f>
        <v/>
      </c>
      <c r="E19" s="126" t="n">
        <v>1.03182941403035</v>
      </c>
      <c r="F19" s="127" t="n">
        <v>0.890386213273138</v>
      </c>
      <c r="G19" s="124" t="n">
        <v>32</v>
      </c>
      <c r="H19" s="124" t="n">
        <v>1</v>
      </c>
      <c r="I19" s="128" t="n">
        <v>0.898006852725996</v>
      </c>
      <c r="J19" s="127" t="n">
        <v>0.0895224842252545</v>
      </c>
      <c r="K19" s="124" t="n">
        <v>1</v>
      </c>
      <c r="L19" s="122">
        <f>ROUND((E18/5*0.4+F18*0.3+I18*0.3)*10,1)</f>
        <v/>
      </c>
    </row>
    <row r="20" ht="15.75" customHeight="1" s="90">
      <c r="A20" s="116" t="inlineStr">
        <is>
          <t>Legal</t>
        </is>
      </c>
      <c r="B20" s="117" t="n">
        <v>4</v>
      </c>
      <c r="C20" s="118" t="n">
        <v>560000</v>
      </c>
      <c r="D20" s="118">
        <f>IFERROR(C19/B19,0)</f>
        <v/>
      </c>
      <c r="E20" s="119" t="n">
        <v>0.852680707627915</v>
      </c>
      <c r="F20" s="120" t="n">
        <v>0.916036001749156</v>
      </c>
      <c r="G20" s="117" t="n">
        <v>33</v>
      </c>
      <c r="H20" s="117" t="n">
        <v>0</v>
      </c>
      <c r="I20" s="121" t="n">
        <v>0.976241240540809</v>
      </c>
      <c r="J20" s="120" t="n">
        <v>0.0403457305925613</v>
      </c>
      <c r="K20" s="117" t="n">
        <v>0</v>
      </c>
      <c r="L20" s="122">
        <f>ROUND((E19/5*0.4+F19*0.3+I19*0.3)*10,1)</f>
        <v/>
      </c>
    </row>
    <row r="21" ht="15.75" customHeight="1" s="90">
      <c r="A21" s="123" t="inlineStr">
        <is>
          <t>Executive</t>
        </is>
      </c>
      <c r="B21" s="124" t="n">
        <v>3</v>
      </c>
      <c r="C21" s="125" t="n">
        <v>750000</v>
      </c>
      <c r="D21" s="125">
        <f>IFERROR(C20/B20,0)</f>
        <v/>
      </c>
      <c r="E21" s="126" t="n">
        <v>1.08536288323459</v>
      </c>
      <c r="F21" s="127" t="n">
        <v>0.943256360710782</v>
      </c>
      <c r="G21" s="124" t="n">
        <v>27</v>
      </c>
      <c r="H21" s="124" t="n">
        <v>0</v>
      </c>
      <c r="I21" s="128" t="n">
        <v>0.952097422214244</v>
      </c>
      <c r="J21" s="127" t="n">
        <v>0.09979035442458439</v>
      </c>
      <c r="K21" s="124" t="n">
        <v>1</v>
      </c>
      <c r="L21" s="122">
        <f>ROUND((E20/5*0.4+F20*0.3+I20*0.3)*10,1)</f>
        <v/>
      </c>
    </row>
    <row r="22" ht="15.75" customHeight="1" s="90">
      <c r="A22" s="116" t="inlineStr">
        <is>
          <t>R&amp;D</t>
        </is>
      </c>
      <c r="B22" s="117" t="n">
        <v>7</v>
      </c>
      <c r="C22" s="118" t="n">
        <v>840000</v>
      </c>
      <c r="D22" s="118">
        <f>IFERROR(C21/B21,0)</f>
        <v/>
      </c>
      <c r="E22" s="119" t="n">
        <v>1.05383057356451</v>
      </c>
      <c r="F22" s="120" t="n">
        <v>0.953106892636291</v>
      </c>
      <c r="G22" s="117" t="n">
        <v>24</v>
      </c>
      <c r="H22" s="117" t="n">
        <v>1</v>
      </c>
      <c r="I22" s="121" t="n">
        <v>0.980104497845629</v>
      </c>
      <c r="J22" s="120" t="n">
        <v>0.0863141981804896</v>
      </c>
      <c r="K22" s="117" t="n">
        <v>1</v>
      </c>
      <c r="L22" s="122">
        <f>ROUND((E21/5*0.4+F21*0.3+I21*0.3)*10,1)</f>
        <v/>
      </c>
    </row>
    <row r="23">
      <c r="A23" s="123" t="inlineStr">
        <is>
          <t>IT Support</t>
        </is>
      </c>
      <c r="B23" s="124" t="n">
        <v>5</v>
      </c>
      <c r="C23" s="125" t="n">
        <v>400000</v>
      </c>
      <c r="D23" s="125">
        <f>IFERROR(C22/B22,0)</f>
        <v/>
      </c>
      <c r="E23" s="126" t="n">
        <v>0.822429793016614</v>
      </c>
      <c r="F23" s="127" t="n">
        <v>0.923307137376861</v>
      </c>
      <c r="G23" s="124" t="n">
        <v>39</v>
      </c>
      <c r="H23" s="124" t="n">
        <v>1</v>
      </c>
      <c r="I23" s="128" t="n">
        <v>0.982089803516545</v>
      </c>
      <c r="J23" s="127" t="n">
        <v>0.110811607114322</v>
      </c>
      <c r="K23" s="124" t="n">
        <v>0</v>
      </c>
      <c r="L23" s="122">
        <f>ROUND((E22/5*0.4+F22*0.3+I22*0.3)*10,1)</f>
        <v/>
      </c>
    </row>
    <row r="24" ht="19.5" customHeight="1" s="90"/>
    <row r="25" ht="15" customHeight="1" s="90">
      <c r="A25" s="114" t="inlineStr">
        <is>
          <t>PERFORMANCE RATING DISTRIBUTION</t>
        </is>
      </c>
      <c r="H25" s="114" t="inlineStr">
        <is>
          <t>SALARY BAND ANALYSIS</t>
        </is>
      </c>
    </row>
    <row r="26" ht="15.75" customHeight="1" s="90">
      <c r="A26" s="129" t="inlineStr">
        <is>
          <t>Rating</t>
        </is>
      </c>
      <c r="B26" s="129" t="inlineStr">
        <is>
          <t>Label</t>
        </is>
      </c>
      <c r="C26" s="129" t="inlineStr">
        <is>
          <t>Count</t>
        </is>
      </c>
      <c r="D26" s="129" t="inlineStr">
        <is>
          <t>% of Workforce</t>
        </is>
      </c>
      <c r="E26" s="129" t="inlineStr">
        <is>
          <t>Avg Salary</t>
        </is>
      </c>
      <c r="F26" s="129" t="inlineStr">
        <is>
          <t>Avg Tenure</t>
        </is>
      </c>
      <c r="H26" s="129" t="inlineStr">
        <is>
          <t>Band</t>
        </is>
      </c>
      <c r="I26" s="129" t="inlineStr">
        <is>
          <t>Range</t>
        </is>
      </c>
      <c r="J26" s="129" t="inlineStr">
        <is>
          <t>Headcount</t>
        </is>
      </c>
      <c r="K26" s="129" t="inlineStr">
        <is>
          <t>% Staff</t>
        </is>
      </c>
      <c r="L26" s="129" t="inlineStr">
        <is>
          <t>Avg Perf</t>
        </is>
      </c>
      <c r="M26" s="129" t="inlineStr">
        <is>
          <t>Budget $</t>
        </is>
      </c>
    </row>
    <row r="27" ht="15.75" customHeight="1" s="90">
      <c r="A27" s="130" t="n">
        <v>5</v>
      </c>
      <c r="B27" s="131" t="inlineStr">
        <is>
          <t>Outstanding</t>
        </is>
      </c>
      <c r="C27" s="130" t="n">
        <v>12</v>
      </c>
      <c r="D27" s="132">
        <f>C26/SUM(C26:C30)</f>
        <v/>
      </c>
      <c r="E27" s="133" t="n">
        <v>110223</v>
      </c>
      <c r="F27" s="134" t="n">
        <v>7.7</v>
      </c>
      <c r="H27" s="135" t="inlineStr">
        <is>
          <t>Band 1</t>
        </is>
      </c>
      <c r="I27" s="135" t="inlineStr">
        <is>
          <t>$30K–$50K</t>
        </is>
      </c>
      <c r="J27" s="117" t="n">
        <v>12</v>
      </c>
      <c r="K27" s="120">
        <f>IFERROR(J26/SUM(J26:J31),0)</f>
        <v/>
      </c>
      <c r="L27" s="119" t="n">
        <v>3.2</v>
      </c>
      <c r="M27" s="118" t="n">
        <v>2340000</v>
      </c>
    </row>
    <row r="28" ht="15.75" customHeight="1" s="90">
      <c r="A28" s="136" t="n">
        <v>4</v>
      </c>
      <c r="B28" s="137" t="inlineStr">
        <is>
          <t>Exceeds Expectations</t>
        </is>
      </c>
      <c r="C28" s="136" t="n">
        <v>28</v>
      </c>
      <c r="D28" s="138">
        <f>C27/SUM(C26:C30)</f>
        <v/>
      </c>
      <c r="E28" s="139" t="n">
        <v>105464</v>
      </c>
      <c r="F28" s="140" t="n">
        <v>6.2</v>
      </c>
      <c r="H28" s="141" t="inlineStr">
        <is>
          <t>Band 2</t>
        </is>
      </c>
      <c r="I28" s="141" t="inlineStr">
        <is>
          <t>$50K–$75K</t>
        </is>
      </c>
      <c r="J28" s="124" t="n">
        <v>28</v>
      </c>
      <c r="K28" s="127">
        <f>IFERROR(J27/SUM(J26:J31),0)</f>
        <v/>
      </c>
      <c r="L28" s="126" t="n">
        <v>3.5</v>
      </c>
      <c r="M28" s="125" t="n">
        <v>5880000</v>
      </c>
    </row>
    <row r="29" ht="15.75" customHeight="1" s="90">
      <c r="A29" s="142" t="n">
        <v>3</v>
      </c>
      <c r="B29" s="143" t="inlineStr">
        <is>
          <t>Meets Expectations</t>
        </is>
      </c>
      <c r="C29" s="142" t="n">
        <v>38</v>
      </c>
      <c r="D29" s="144">
        <f>C28/SUM(C26:C30)</f>
        <v/>
      </c>
      <c r="E29" s="145" t="n">
        <v>92527</v>
      </c>
      <c r="F29" s="146" t="n">
        <v>4.9</v>
      </c>
      <c r="H29" s="135" t="inlineStr">
        <is>
          <t>Band 3</t>
        </is>
      </c>
      <c r="I29" s="135" t="inlineStr">
        <is>
          <t>$75K–$100K</t>
        </is>
      </c>
      <c r="J29" s="117" t="n">
        <v>32</v>
      </c>
      <c r="K29" s="120">
        <f>IFERROR(J28/SUM(J26:J31),0)</f>
        <v/>
      </c>
      <c r="L29" s="119" t="n">
        <v>3.7</v>
      </c>
      <c r="M29" s="118" t="n">
        <v>7680000</v>
      </c>
    </row>
    <row r="30" ht="15.75" customHeight="1" s="90">
      <c r="A30" s="147" t="n">
        <v>2</v>
      </c>
      <c r="B30" s="148" t="inlineStr">
        <is>
          <t>Needs Improvement</t>
        </is>
      </c>
      <c r="C30" s="147" t="n">
        <v>16</v>
      </c>
      <c r="D30" s="149">
        <f>C29/SUM(C26:C30)</f>
        <v/>
      </c>
      <c r="E30" s="150" t="n">
        <v>82276</v>
      </c>
      <c r="F30" s="151" t="n">
        <v>3.6</v>
      </c>
      <c r="H30" s="141" t="inlineStr">
        <is>
          <t>Band 4</t>
        </is>
      </c>
      <c r="I30" s="141" t="inlineStr">
        <is>
          <t>$100K–$150K</t>
        </is>
      </c>
      <c r="J30" s="124" t="n">
        <v>18</v>
      </c>
      <c r="K30" s="127">
        <f>IFERROR(J29/SUM(J26:J31),0)</f>
        <v/>
      </c>
      <c r="L30" s="126" t="n">
        <v>3.9</v>
      </c>
      <c r="M30" s="125" t="n">
        <v>4860000</v>
      </c>
    </row>
    <row r="31" ht="15.75" customHeight="1" s="90">
      <c r="A31" s="152" t="n">
        <v>1</v>
      </c>
      <c r="B31" s="153" t="inlineStr">
        <is>
          <t>Unsatisfactory</t>
        </is>
      </c>
      <c r="C31" s="152" t="n">
        <v>6</v>
      </c>
      <c r="D31" s="154">
        <f>C30/SUM(C26:C30)</f>
        <v/>
      </c>
      <c r="E31" s="155" t="n">
        <v>62975</v>
      </c>
      <c r="F31" s="156" t="n">
        <v>2.5</v>
      </c>
      <c r="H31" s="135" t="inlineStr">
        <is>
          <t>Band 5</t>
        </is>
      </c>
      <c r="I31" s="135" t="inlineStr">
        <is>
          <t>$150K–$200K</t>
        </is>
      </c>
      <c r="J31" s="117" t="n">
        <v>7</v>
      </c>
      <c r="K31" s="120">
        <f>IFERROR(J30/SUM(J26:J31),0)</f>
        <v/>
      </c>
      <c r="L31" s="119" t="n">
        <v>4.1</v>
      </c>
      <c r="M31" s="118" t="n">
        <v>2450000</v>
      </c>
    </row>
    <row r="32">
      <c r="H32" s="141" t="inlineStr">
        <is>
          <t>Band 6</t>
        </is>
      </c>
      <c r="I32" s="141" t="inlineStr">
        <is>
          <t>$200K+</t>
        </is>
      </c>
      <c r="J32" s="124" t="n">
        <v>3</v>
      </c>
      <c r="K32" s="127">
        <f>IFERROR(J31/SUM(J26:J31),0)</f>
        <v/>
      </c>
      <c r="L32" s="126" t="n">
        <v>4.4</v>
      </c>
      <c r="M32" s="125" t="n">
        <v>1950000</v>
      </c>
    </row>
    <row r="33" ht="19.5" customHeight="1" s="90"/>
    <row r="34" ht="27.75" customHeight="1" s="90">
      <c r="A34" s="114" t="inlineStr">
        <is>
          <t>TRAINING &amp; DEVELOPMENT TRACKER</t>
        </is>
      </c>
    </row>
    <row r="35" ht="15.75" customHeight="1" s="90">
      <c r="A35" s="115" t="inlineStr">
        <is>
          <t>Department</t>
        </is>
      </c>
      <c r="B35" s="115" t="inlineStr">
        <is>
          <t>Mandatory Hrs</t>
        </is>
      </c>
      <c r="C35" s="115" t="inlineStr">
        <is>
          <t>Completed Hrs</t>
        </is>
      </c>
      <c r="D35" s="115" t="inlineStr">
        <is>
          <t>Completion%</t>
        </is>
      </c>
      <c r="E35" s="115" t="inlineStr">
        <is>
          <t>Budget</t>
        </is>
      </c>
      <c r="F35" s="115" t="inlineStr">
        <is>
          <t>Spent</t>
        </is>
      </c>
      <c r="G35" s="115" t="inlineStr">
        <is>
          <t>Budget Util%</t>
        </is>
      </c>
      <c r="H35" s="115" t="inlineStr">
        <is>
          <t>Certifications</t>
        </is>
      </c>
      <c r="I35" s="115" t="inlineStr">
        <is>
          <t>Avg Score</t>
        </is>
      </c>
      <c r="J35" s="115" t="inlineStr">
        <is>
          <t>Next Due</t>
        </is>
      </c>
      <c r="K35" s="115" t="inlineStr">
        <is>
          <t>Status</t>
        </is>
      </c>
    </row>
    <row r="36" ht="15.75" customHeight="1" s="90">
      <c r="A36" s="116" t="inlineStr">
        <is>
          <t>Engineering</t>
        </is>
      </c>
      <c r="B36" s="117" t="n">
        <v>40</v>
      </c>
      <c r="C36" s="117" t="n">
        <v>38</v>
      </c>
      <c r="D36" s="120">
        <f>IFERROR(C35/B35,0)</f>
        <v/>
      </c>
      <c r="E36" s="118" t="n">
        <v>9500</v>
      </c>
      <c r="F36" s="118" t="n">
        <v>8750</v>
      </c>
      <c r="G36" s="121">
        <f>IFERROR(F35/E35,0)</f>
        <v/>
      </c>
      <c r="H36" s="117" t="n">
        <v>14</v>
      </c>
      <c r="I36" s="119" t="n">
        <v>88</v>
      </c>
      <c r="J36" s="116" t="inlineStr">
        <is>
          <t>2025-09-01</t>
        </is>
      </c>
      <c r="K36" s="157">
        <f>IF(D35&gt;=1,"✅ Complete",IF(D35&gt;=0.8,"⚠️ In Progress","❌ Behind"))</f>
        <v/>
      </c>
    </row>
    <row r="37" ht="15.75" customHeight="1" s="90">
      <c r="A37" s="123" t="inlineStr">
        <is>
          <t>Marketing</t>
        </is>
      </c>
      <c r="B37" s="124" t="n">
        <v>24</v>
      </c>
      <c r="C37" s="124" t="n">
        <v>22</v>
      </c>
      <c r="D37" s="127">
        <f>IFERROR(C36/B36,0)</f>
        <v/>
      </c>
      <c r="E37" s="125" t="n">
        <v>5200</v>
      </c>
      <c r="F37" s="125" t="n">
        <v>4800</v>
      </c>
      <c r="G37" s="128">
        <f>IFERROR(F36/E36,0)</f>
        <v/>
      </c>
      <c r="H37" s="124" t="n">
        <v>8</v>
      </c>
      <c r="I37" s="126" t="n">
        <v>91</v>
      </c>
      <c r="J37" s="123" t="inlineStr">
        <is>
          <t>2025-09-16</t>
        </is>
      </c>
      <c r="K37" s="158">
        <f>IF(D36&gt;=1,"✅ Complete",IF(D36&gt;=0.8,"⚠️ In Progress","❌ Behind"))</f>
        <v/>
      </c>
    </row>
    <row r="38" ht="15.75" customHeight="1" s="90">
      <c r="A38" s="116" t="inlineStr">
        <is>
          <t>Sales</t>
        </is>
      </c>
      <c r="B38" s="117" t="n">
        <v>32</v>
      </c>
      <c r="C38" s="117" t="n">
        <v>28</v>
      </c>
      <c r="D38" s="120">
        <f>IFERROR(C37/B37,0)</f>
        <v/>
      </c>
      <c r="E38" s="118" t="n">
        <v>7200</v>
      </c>
      <c r="F38" s="118" t="n">
        <v>6500</v>
      </c>
      <c r="G38" s="121">
        <f>IFERROR(F37/E37,0)</f>
        <v/>
      </c>
      <c r="H38" s="117" t="n">
        <v>11</v>
      </c>
      <c r="I38" s="119" t="n">
        <v>84</v>
      </c>
      <c r="J38" s="116" t="inlineStr">
        <is>
          <t>2025-10-01</t>
        </is>
      </c>
      <c r="K38" s="157">
        <f>IF(D37&gt;=1,"✅ Complete",IF(D37&gt;=0.8,"⚠️ In Progress","❌ Behind"))</f>
        <v/>
      </c>
    </row>
    <row r="39" ht="15.75" customHeight="1" s="90">
      <c r="A39" s="123" t="inlineStr">
        <is>
          <t>Finance</t>
        </is>
      </c>
      <c r="B39" s="124" t="n">
        <v>20</v>
      </c>
      <c r="C39" s="124" t="n">
        <v>20</v>
      </c>
      <c r="D39" s="127">
        <f>IFERROR(C38/B38,0)</f>
        <v/>
      </c>
      <c r="E39" s="125" t="n">
        <v>4400</v>
      </c>
      <c r="F39" s="125" t="n">
        <v>4200</v>
      </c>
      <c r="G39" s="128">
        <f>IFERROR(F38/E38,0)</f>
        <v/>
      </c>
      <c r="H39" s="124" t="n">
        <v>5</v>
      </c>
      <c r="I39" s="126" t="n">
        <v>95</v>
      </c>
      <c r="J39" s="123" t="inlineStr">
        <is>
          <t>2025-10-16</t>
        </is>
      </c>
      <c r="K39" s="158">
        <f>IF(D38&gt;=1,"✅ Complete",IF(D38&gt;=0.8,"⚠️ In Progress","❌ Behind"))</f>
        <v/>
      </c>
    </row>
    <row r="40" ht="15.75" customHeight="1" s="90">
      <c r="A40" s="116" t="inlineStr">
        <is>
          <t>HR</t>
        </is>
      </c>
      <c r="B40" s="117" t="n">
        <v>28</v>
      </c>
      <c r="C40" s="117" t="n">
        <v>25</v>
      </c>
      <c r="D40" s="120">
        <f>IFERROR(C39/B39,0)</f>
        <v/>
      </c>
      <c r="E40" s="118" t="n">
        <v>3600</v>
      </c>
      <c r="F40" s="118" t="n">
        <v>3100</v>
      </c>
      <c r="G40" s="121">
        <f>IFERROR(F39/E39,0)</f>
        <v/>
      </c>
      <c r="H40" s="117" t="n">
        <v>7</v>
      </c>
      <c r="I40" s="119" t="n">
        <v>89</v>
      </c>
      <c r="J40" s="116" t="inlineStr">
        <is>
          <t>2025-10-31</t>
        </is>
      </c>
      <c r="K40" s="157">
        <f>IF(D39&gt;=1,"✅ Complete",IF(D39&gt;=0.8,"⚠️ In Progress","❌ Behind"))</f>
        <v/>
      </c>
    </row>
    <row r="41" ht="15.75" customHeight="1" s="90">
      <c r="A41" s="123" t="inlineStr">
        <is>
          <t>Operations</t>
        </is>
      </c>
      <c r="B41" s="124" t="n">
        <v>36</v>
      </c>
      <c r="C41" s="124" t="n">
        <v>30</v>
      </c>
      <c r="D41" s="127">
        <f>IFERROR(C40/B40,0)</f>
        <v/>
      </c>
      <c r="E41" s="125" t="n">
        <v>6800</v>
      </c>
      <c r="F41" s="125" t="n">
        <v>6200</v>
      </c>
      <c r="G41" s="128">
        <f>IFERROR(F40/E40,0)</f>
        <v/>
      </c>
      <c r="H41" s="124" t="n">
        <v>9</v>
      </c>
      <c r="I41" s="126" t="n">
        <v>86</v>
      </c>
      <c r="J41" s="123" t="inlineStr">
        <is>
          <t>2025-11-15</t>
        </is>
      </c>
      <c r="K41" s="158">
        <f>IF(D40&gt;=1,"✅ Complete",IF(D40&gt;=0.8,"⚠️ In Progress","❌ Behind"))</f>
        <v/>
      </c>
    </row>
    <row r="42" ht="15.75" customHeight="1" s="90">
      <c r="A42" s="116" t="inlineStr">
        <is>
          <t>Customer Success</t>
        </is>
      </c>
      <c r="B42" s="117" t="n">
        <v>20</v>
      </c>
      <c r="C42" s="117" t="n">
        <v>19</v>
      </c>
      <c r="D42" s="120">
        <f>IFERROR(C41/B41,0)</f>
        <v/>
      </c>
      <c r="E42" s="118" t="n">
        <v>4000</v>
      </c>
      <c r="F42" s="118" t="n">
        <v>3800</v>
      </c>
      <c r="G42" s="121">
        <f>IFERROR(F41/E41,0)</f>
        <v/>
      </c>
      <c r="H42" s="117" t="n">
        <v>6</v>
      </c>
      <c r="I42" s="119" t="n">
        <v>92</v>
      </c>
      <c r="J42" s="116" t="inlineStr">
        <is>
          <t>2025-11-30</t>
        </is>
      </c>
      <c r="K42" s="157">
        <f>IF(D41&gt;=1,"✅ Complete",IF(D41&gt;=0.8,"⚠️ In Progress","❌ Behind"))</f>
        <v/>
      </c>
    </row>
    <row r="43" ht="15.75" customHeight="1" s="90">
      <c r="A43" s="123" t="inlineStr">
        <is>
          <t>Product</t>
        </is>
      </c>
      <c r="B43" s="124" t="n">
        <v>28</v>
      </c>
      <c r="C43" s="124" t="n">
        <v>27</v>
      </c>
      <c r="D43" s="127">
        <f>IFERROR(C42/B42,0)</f>
        <v/>
      </c>
      <c r="E43" s="125" t="n">
        <v>5600</v>
      </c>
      <c r="F43" s="125" t="n">
        <v>5400</v>
      </c>
      <c r="G43" s="128">
        <f>IFERROR(F42/E42,0)</f>
        <v/>
      </c>
      <c r="H43" s="124" t="n">
        <v>8</v>
      </c>
      <c r="I43" s="126" t="n">
        <v>90</v>
      </c>
      <c r="J43" s="123" t="inlineStr">
        <is>
          <t>2025-12-15</t>
        </is>
      </c>
      <c r="K43" s="158">
        <f>IF(D42&gt;=1,"✅ Complete",IF(D42&gt;=0.8,"⚠️ In Progress","❌ Behind"))</f>
        <v/>
      </c>
    </row>
    <row r="44" ht="15.75" customHeight="1" s="90">
      <c r="A44" s="116" t="inlineStr">
        <is>
          <t>Legal</t>
        </is>
      </c>
      <c r="B44" s="117" t="n">
        <v>16</v>
      </c>
      <c r="C44" s="117" t="n">
        <v>16</v>
      </c>
      <c r="D44" s="120">
        <f>IFERROR(C43/B43,0)</f>
        <v/>
      </c>
      <c r="E44" s="118" t="n">
        <v>3200</v>
      </c>
      <c r="F44" s="118" t="n">
        <v>3100</v>
      </c>
      <c r="G44" s="121">
        <f>IFERROR(F43/E43,0)</f>
        <v/>
      </c>
      <c r="H44" s="117" t="n">
        <v>3</v>
      </c>
      <c r="I44" s="119" t="n">
        <v>97</v>
      </c>
      <c r="J44" s="116" t="inlineStr">
        <is>
          <t>2025-12-30</t>
        </is>
      </c>
      <c r="K44" s="157">
        <f>IF(D43&gt;=1,"✅ Complete",IF(D43&gt;=0.8,"⚠️ In Progress","❌ Behind"))</f>
        <v/>
      </c>
    </row>
    <row r="45" ht="15.75" customHeight="1" s="90">
      <c r="A45" s="123" t="inlineStr">
        <is>
          <t>Executive</t>
        </is>
      </c>
      <c r="B45" s="124" t="n">
        <v>12</v>
      </c>
      <c r="C45" s="124" t="n">
        <v>12</v>
      </c>
      <c r="D45" s="127">
        <f>IFERROR(C44/B44,0)</f>
        <v/>
      </c>
      <c r="E45" s="125" t="n">
        <v>2800</v>
      </c>
      <c r="F45" s="125" t="n">
        <v>2800</v>
      </c>
      <c r="G45" s="128">
        <f>IFERROR(F44/E44,0)</f>
        <v/>
      </c>
      <c r="H45" s="124" t="n">
        <v>2</v>
      </c>
      <c r="I45" s="126" t="n">
        <v>100</v>
      </c>
      <c r="J45" s="123" t="inlineStr">
        <is>
          <t>2026-01-14</t>
        </is>
      </c>
      <c r="K45" s="158">
        <f>IF(D44&gt;=1,"✅ Complete",IF(D44&gt;=0.8,"⚠️ In Progress","❌ Behind"))</f>
        <v/>
      </c>
    </row>
    <row r="46" ht="15.75" customHeight="1" s="90">
      <c r="A46" s="116" t="inlineStr">
        <is>
          <t>R&amp;D</t>
        </is>
      </c>
      <c r="B46" s="117" t="n">
        <v>32</v>
      </c>
      <c r="C46" s="117" t="n">
        <v>29</v>
      </c>
      <c r="D46" s="120">
        <f>IFERROR(C45/B45,0)</f>
        <v/>
      </c>
      <c r="E46" s="118" t="n">
        <v>6000</v>
      </c>
      <c r="F46" s="118" t="n">
        <v>5600</v>
      </c>
      <c r="G46" s="121">
        <f>IFERROR(F45/E45,0)</f>
        <v/>
      </c>
      <c r="H46" s="117" t="n">
        <v>10</v>
      </c>
      <c r="I46" s="119" t="n">
        <v>87</v>
      </c>
      <c r="J46" s="116" t="inlineStr">
        <is>
          <t>2026-01-29</t>
        </is>
      </c>
      <c r="K46" s="157">
        <f>IF(D45&gt;=1,"✅ Complete",IF(D45&gt;=0.8,"⚠️ In Progress","❌ Behind"))</f>
        <v/>
      </c>
    </row>
    <row r="47">
      <c r="A47" s="123" t="inlineStr">
        <is>
          <t>IT Support</t>
        </is>
      </c>
      <c r="B47" s="124" t="n">
        <v>24</v>
      </c>
      <c r="C47" s="124" t="n">
        <v>21</v>
      </c>
      <c r="D47" s="127">
        <f>IFERROR(C46/B46,0)</f>
        <v/>
      </c>
      <c r="E47" s="125" t="n">
        <v>3600</v>
      </c>
      <c r="F47" s="125" t="n">
        <v>3200</v>
      </c>
      <c r="G47" s="128">
        <f>IFERROR(F46/E46,0)</f>
        <v/>
      </c>
      <c r="H47" s="124" t="n">
        <v>6</v>
      </c>
      <c r="I47" s="126" t="n">
        <v>88</v>
      </c>
      <c r="J47" s="123" t="inlineStr">
        <is>
          <t>2026-02-13</t>
        </is>
      </c>
      <c r="K47" s="158">
        <f>IF(D46&gt;=1,"✅ Complete",IF(D46&gt;=0.8,"⚠️ In Progress","❌ Behind"))</f>
        <v/>
      </c>
    </row>
    <row r="48" ht="15" customHeight="1" s="90"/>
    <row r="49" ht="27.75" customHeight="1" s="90">
      <c r="A49" s="114" t="inlineStr">
        <is>
          <t>HEADCOUNT MOVEMENT  |  FY 2025</t>
        </is>
      </c>
    </row>
    <row r="50" ht="15.75" customHeight="1" s="90">
      <c r="A50" s="115" t="inlineStr">
        <is>
          <t>Month</t>
        </is>
      </c>
      <c r="B50" s="115" t="inlineStr">
        <is>
          <t>Opening HC</t>
        </is>
      </c>
      <c r="C50" s="115" t="inlineStr">
        <is>
          <t>New Hires</t>
        </is>
      </c>
      <c r="D50" s="115" t="inlineStr">
        <is>
          <t>Resignations</t>
        </is>
      </c>
      <c r="E50" s="115" t="inlineStr">
        <is>
          <t>Terminations</t>
        </is>
      </c>
      <c r="F50" s="115" t="inlineStr">
        <is>
          <t>Retirements</t>
        </is>
      </c>
      <c r="G50" s="115" t="inlineStr">
        <is>
          <t>Promotions</t>
        </is>
      </c>
      <c r="H50" s="115" t="inlineStr">
        <is>
          <t>Closing HC</t>
        </is>
      </c>
      <c r="I50" s="115" t="inlineStr">
        <is>
          <t>Net Change</t>
        </is>
      </c>
      <c r="J50" s="115" t="inlineStr">
        <is>
          <t>Turnover Rate</t>
        </is>
      </c>
    </row>
    <row r="51" ht="15.75" customHeight="1" s="90">
      <c r="A51" s="116" t="inlineStr">
        <is>
          <t>Jan</t>
        </is>
      </c>
      <c r="B51" s="117" t="n">
        <v>95</v>
      </c>
      <c r="C51" s="117" t="n">
        <v>4</v>
      </c>
      <c r="D51" s="117" t="n">
        <v>1</v>
      </c>
      <c r="E51" s="117" t="n">
        <v>1</v>
      </c>
      <c r="F51" s="117" t="n">
        <v>1</v>
      </c>
      <c r="G51" s="117" t="n">
        <v>3</v>
      </c>
      <c r="H51" s="159" t="n">
        <v>96</v>
      </c>
      <c r="I51" s="160" t="n">
        <v>1</v>
      </c>
      <c r="J51" s="120" t="n">
        <v>0.0315789473684211</v>
      </c>
    </row>
    <row r="52" ht="15.75" customHeight="1" s="90">
      <c r="A52" s="123" t="inlineStr">
        <is>
          <t>Feb</t>
        </is>
      </c>
      <c r="B52" s="124" t="n">
        <v>96</v>
      </c>
      <c r="C52" s="124" t="n">
        <v>1</v>
      </c>
      <c r="D52" s="124" t="n">
        <v>1</v>
      </c>
      <c r="E52" s="124" t="n">
        <v>0</v>
      </c>
      <c r="F52" s="124" t="n">
        <v>0</v>
      </c>
      <c r="G52" s="124" t="n">
        <v>3</v>
      </c>
      <c r="H52" s="161" t="n">
        <v>96</v>
      </c>
      <c r="I52" s="162" t="n">
        <v>0</v>
      </c>
      <c r="J52" s="127" t="n">
        <v>0.0104166666666667</v>
      </c>
    </row>
    <row r="53" ht="15.75" customHeight="1" s="90">
      <c r="A53" s="116" t="inlineStr">
        <is>
          <t>Mar</t>
        </is>
      </c>
      <c r="B53" s="117" t="n">
        <v>96</v>
      </c>
      <c r="C53" s="117" t="n">
        <v>3</v>
      </c>
      <c r="D53" s="117" t="n">
        <v>2</v>
      </c>
      <c r="E53" s="117" t="n">
        <v>0</v>
      </c>
      <c r="F53" s="117" t="n">
        <v>0</v>
      </c>
      <c r="G53" s="117" t="n">
        <v>2</v>
      </c>
      <c r="H53" s="159" t="n">
        <v>97</v>
      </c>
      <c r="I53" s="160" t="n">
        <v>1</v>
      </c>
      <c r="J53" s="120" t="n">
        <v>0.0208333333333333</v>
      </c>
    </row>
    <row r="54" ht="15.75" customHeight="1" s="90">
      <c r="A54" s="123" t="inlineStr">
        <is>
          <t>Apr</t>
        </is>
      </c>
      <c r="B54" s="124" t="n">
        <v>97</v>
      </c>
      <c r="C54" s="124" t="n">
        <v>2</v>
      </c>
      <c r="D54" s="124" t="n">
        <v>1</v>
      </c>
      <c r="E54" s="124" t="n">
        <v>1</v>
      </c>
      <c r="F54" s="124" t="n">
        <v>0</v>
      </c>
      <c r="G54" s="124" t="n">
        <v>1</v>
      </c>
      <c r="H54" s="161" t="n">
        <v>97</v>
      </c>
      <c r="I54" s="162" t="n">
        <v>0</v>
      </c>
      <c r="J54" s="127" t="n">
        <v>0.0206185567010309</v>
      </c>
    </row>
    <row r="55" ht="15.75" customHeight="1" s="90">
      <c r="A55" s="116" t="inlineStr">
        <is>
          <t>May</t>
        </is>
      </c>
      <c r="B55" s="117" t="n">
        <v>97</v>
      </c>
      <c r="C55" s="117" t="n">
        <v>2</v>
      </c>
      <c r="D55" s="117" t="n">
        <v>0</v>
      </c>
      <c r="E55" s="117" t="n">
        <v>0</v>
      </c>
      <c r="F55" s="117" t="n">
        <v>1</v>
      </c>
      <c r="G55" s="117" t="n">
        <v>1</v>
      </c>
      <c r="H55" s="159" t="n">
        <v>98</v>
      </c>
      <c r="I55" s="160" t="n">
        <v>1</v>
      </c>
      <c r="J55" s="120" t="n">
        <v>0.0103092783505155</v>
      </c>
    </row>
    <row r="56" ht="15.75" customHeight="1" s="90">
      <c r="A56" s="123" t="inlineStr">
        <is>
          <t>Jun</t>
        </is>
      </c>
      <c r="B56" s="124" t="n">
        <v>98</v>
      </c>
      <c r="C56" s="124" t="n">
        <v>4</v>
      </c>
      <c r="D56" s="124" t="n">
        <v>1</v>
      </c>
      <c r="E56" s="124" t="n">
        <v>1</v>
      </c>
      <c r="F56" s="124" t="n">
        <v>0</v>
      </c>
      <c r="G56" s="124" t="n">
        <v>1</v>
      </c>
      <c r="H56" s="161" t="n">
        <v>100</v>
      </c>
      <c r="I56" s="162" t="n">
        <v>2</v>
      </c>
      <c r="J56" s="127" t="n">
        <v>0.0204081632653061</v>
      </c>
    </row>
    <row r="57" ht="15.75" customHeight="1" s="90">
      <c r="A57" s="116" t="inlineStr">
        <is>
          <t>Jul</t>
        </is>
      </c>
      <c r="B57" s="117" t="n">
        <v>100</v>
      </c>
      <c r="C57" s="117" t="n">
        <v>4</v>
      </c>
      <c r="D57" s="117" t="n">
        <v>1</v>
      </c>
      <c r="E57" s="117" t="n">
        <v>0</v>
      </c>
      <c r="F57" s="117" t="n">
        <v>0</v>
      </c>
      <c r="G57" s="117" t="n">
        <v>2</v>
      </c>
      <c r="H57" s="159" t="n">
        <v>103</v>
      </c>
      <c r="I57" s="160" t="n">
        <v>3</v>
      </c>
      <c r="J57" s="120" t="n">
        <v>0.01</v>
      </c>
    </row>
    <row r="58" ht="15.75" customHeight="1" s="90">
      <c r="A58" s="123" t="inlineStr">
        <is>
          <t>Aug</t>
        </is>
      </c>
      <c r="B58" s="124" t="n">
        <v>103</v>
      </c>
      <c r="C58" s="124" t="n">
        <v>2</v>
      </c>
      <c r="D58" s="124" t="n">
        <v>1</v>
      </c>
      <c r="E58" s="124" t="n">
        <v>0</v>
      </c>
      <c r="F58" s="124" t="n">
        <v>0</v>
      </c>
      <c r="G58" s="124" t="n">
        <v>1</v>
      </c>
      <c r="H58" s="161" t="n">
        <v>104</v>
      </c>
      <c r="I58" s="162" t="n">
        <v>1</v>
      </c>
      <c r="J58" s="127" t="n">
        <v>0.009708737864077671</v>
      </c>
    </row>
    <row r="59" ht="15.75" customHeight="1" s="90">
      <c r="A59" s="116" t="inlineStr">
        <is>
          <t>Sep</t>
        </is>
      </c>
      <c r="B59" s="117" t="n">
        <v>104</v>
      </c>
      <c r="C59" s="117" t="n">
        <v>1</v>
      </c>
      <c r="D59" s="117" t="n">
        <v>0</v>
      </c>
      <c r="E59" s="117" t="n">
        <v>0</v>
      </c>
      <c r="F59" s="117" t="n">
        <v>1</v>
      </c>
      <c r="G59" s="117" t="n">
        <v>0</v>
      </c>
      <c r="H59" s="159" t="n">
        <v>104</v>
      </c>
      <c r="I59" s="160" t="n">
        <v>0</v>
      </c>
      <c r="J59" s="120" t="n">
        <v>0.009615384615384619</v>
      </c>
    </row>
    <row r="60" ht="15.75" customHeight="1" s="90">
      <c r="A60" s="123" t="inlineStr">
        <is>
          <t>Oct</t>
        </is>
      </c>
      <c r="B60" s="124" t="n">
        <v>104</v>
      </c>
      <c r="C60" s="124" t="n">
        <v>3</v>
      </c>
      <c r="D60" s="124" t="n">
        <v>2</v>
      </c>
      <c r="E60" s="124" t="n">
        <v>0</v>
      </c>
      <c r="F60" s="124" t="n">
        <v>0</v>
      </c>
      <c r="G60" s="124" t="n">
        <v>3</v>
      </c>
      <c r="H60" s="161" t="n">
        <v>105</v>
      </c>
      <c r="I60" s="162" t="n">
        <v>1</v>
      </c>
      <c r="J60" s="127" t="n">
        <v>0.0192307692307692</v>
      </c>
    </row>
    <row r="61" ht="15.75" customHeight="1" s="90">
      <c r="A61" s="116" t="inlineStr">
        <is>
          <t>Nov</t>
        </is>
      </c>
      <c r="B61" s="117" t="n">
        <v>105</v>
      </c>
      <c r="C61" s="117" t="n">
        <v>3</v>
      </c>
      <c r="D61" s="117" t="n">
        <v>1</v>
      </c>
      <c r="E61" s="117" t="n">
        <v>0</v>
      </c>
      <c r="F61" s="117" t="n">
        <v>0</v>
      </c>
      <c r="G61" s="117" t="n">
        <v>3</v>
      </c>
      <c r="H61" s="159" t="n">
        <v>107</v>
      </c>
      <c r="I61" s="160" t="n">
        <v>2</v>
      </c>
      <c r="J61" s="120" t="n">
        <v>0.00952380952380953</v>
      </c>
    </row>
    <row r="62">
      <c r="A62" s="123" t="inlineStr">
        <is>
          <t>Dec</t>
        </is>
      </c>
      <c r="B62" s="124" t="n">
        <v>107</v>
      </c>
      <c r="C62" s="124" t="n">
        <v>3</v>
      </c>
      <c r="D62" s="124" t="n">
        <v>1</v>
      </c>
      <c r="E62" s="124" t="n">
        <v>1</v>
      </c>
      <c r="F62" s="124" t="n">
        <v>0</v>
      </c>
      <c r="G62" s="124" t="n">
        <v>0</v>
      </c>
      <c r="H62" s="161" t="n">
        <v>108</v>
      </c>
      <c r="I62" s="162" t="n">
        <v>1</v>
      </c>
      <c r="J62" s="127" t="n">
        <v>0.0186915887850467</v>
      </c>
    </row>
  </sheetData>
  <mergeCells count="31">
    <mergeCell ref="O7:P7"/>
    <mergeCell ref="C6:D6"/>
    <mergeCell ref="I6:J6"/>
    <mergeCell ref="C5:D5"/>
    <mergeCell ref="O6:P6"/>
    <mergeCell ref="E5:F5"/>
    <mergeCell ref="K5:L5"/>
    <mergeCell ref="M5:N5"/>
    <mergeCell ref="A6:B6"/>
    <mergeCell ref="A7:B7"/>
    <mergeCell ref="G7:H7"/>
    <mergeCell ref="O5:P5"/>
    <mergeCell ref="I7:J7"/>
    <mergeCell ref="A48:J48"/>
    <mergeCell ref="G6:H6"/>
    <mergeCell ref="M7:N7"/>
    <mergeCell ref="E6:F6"/>
    <mergeCell ref="M6:N6"/>
    <mergeCell ref="H24:M24"/>
    <mergeCell ref="A3:T3"/>
    <mergeCell ref="A5:B5"/>
    <mergeCell ref="G5:H5"/>
    <mergeCell ref="A33:K33"/>
    <mergeCell ref="I5:J5"/>
    <mergeCell ref="A9:L9"/>
    <mergeCell ref="A24:F24"/>
    <mergeCell ref="A1:T2"/>
    <mergeCell ref="K7:L7"/>
    <mergeCell ref="C7:D7"/>
    <mergeCell ref="E7:F7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9" min="1" max="1"/>
    <col width="20" customWidth="1" style="89" min="2" max="2"/>
    <col width="16" customWidth="1" style="89" min="3" max="3"/>
    <col width="20" customWidth="1" style="89" min="4" max="4"/>
    <col width="11" customWidth="1" style="89" min="5" max="5"/>
    <col width="12" customWidth="1" style="89" min="6" max="6"/>
    <col width="10" customWidth="1" style="89" min="7" max="7"/>
    <col width="13" customWidth="1" style="89" min="8" max="8"/>
    <col width="20" customWidth="1" style="89" min="9" max="9"/>
    <col width="10" customWidth="1" style="89" min="10" max="10"/>
    <col width="8" customWidth="1" style="89" min="11" max="11"/>
    <col width="14" customWidth="1" style="89" min="12" max="12"/>
    <col width="12" customWidth="1" style="89" min="13" max="14"/>
    <col width="14" customWidth="1" style="89" min="15" max="15"/>
    <col width="12" customWidth="1" style="89" min="16" max="16"/>
    <col width="13" customWidth="1" style="89" min="17" max="17"/>
    <col width="14" customWidth="1" style="89" min="18" max="18"/>
    <col width="16" customWidth="1" style="89" min="19" max="19"/>
    <col width="20" customWidth="1" style="89" min="20" max="20"/>
  </cols>
  <sheetData>
    <row r="1" ht="15" customHeight="1" s="90">
      <c r="A1" s="163" t="inlineStr">
        <is>
          <t>Emp ID</t>
        </is>
      </c>
      <c r="B1" s="163" t="inlineStr">
        <is>
          <t>Full Name</t>
        </is>
      </c>
      <c r="C1" s="163" t="inlineStr">
        <is>
          <t>Department</t>
        </is>
      </c>
      <c r="D1" s="163" t="inlineStr">
        <is>
          <t>Job Title</t>
        </is>
      </c>
      <c r="E1" s="163" t="inlineStr">
        <is>
          <t>Tenure (yrs)</t>
        </is>
      </c>
      <c r="F1" s="163" t="inlineStr">
        <is>
          <t>Base Salary</t>
        </is>
      </c>
      <c r="G1" s="163" t="inlineStr">
        <is>
          <t>Bonus</t>
        </is>
      </c>
      <c r="H1" s="163" t="inlineStr">
        <is>
          <t>Total Comp</t>
        </is>
      </c>
      <c r="I1" s="163" t="inlineStr">
        <is>
          <t>Manager</t>
        </is>
      </c>
      <c r="J1" s="163" t="inlineStr">
        <is>
          <t>Gender</t>
        </is>
      </c>
      <c r="K1" s="163" t="inlineStr">
        <is>
          <t>Age</t>
        </is>
      </c>
      <c r="L1" s="163" t="inlineStr">
        <is>
          <t>Performance (1-5)</t>
        </is>
      </c>
      <c r="M1" s="163" t="inlineStr">
        <is>
          <t>Attendance %</t>
        </is>
      </c>
      <c r="N1" s="163" t="inlineStr">
        <is>
          <t>Training Hrs</t>
        </is>
      </c>
      <c r="O1" s="163" t="inlineStr">
        <is>
          <t>Certifications</t>
        </is>
      </c>
      <c r="P1" s="163" t="inlineStr">
        <is>
          <t>Status</t>
        </is>
      </c>
      <c r="Q1" s="163" t="inlineStr">
        <is>
          <t>Start Date</t>
        </is>
      </c>
      <c r="R1" s="163" t="inlineStr">
        <is>
          <t>Location</t>
        </is>
      </c>
      <c r="S1" s="163" t="inlineStr">
        <is>
          <t>Education</t>
        </is>
      </c>
      <c r="T1" s="163" t="inlineStr">
        <is>
          <t>Notes</t>
        </is>
      </c>
    </row>
    <row r="2" ht="15" customHeight="1" s="90">
      <c r="A2" s="116" t="inlineStr">
        <is>
          <t>EMP1000</t>
        </is>
      </c>
      <c r="B2" s="116" t="inlineStr">
        <is>
          <t>James Smith</t>
        </is>
      </c>
      <c r="C2" s="116" t="inlineStr">
        <is>
          <t>Marketing</t>
        </is>
      </c>
      <c r="D2" s="116" t="inlineStr">
        <is>
          <t>Marketing Specialist</t>
        </is>
      </c>
      <c r="E2" s="119" t="n">
        <v>6.8</v>
      </c>
      <c r="F2" s="118" t="n">
        <v>98000</v>
      </c>
      <c r="G2" s="118" t="n">
        <v>16000</v>
      </c>
      <c r="H2" s="118">
        <f>F2+G2</f>
        <v/>
      </c>
      <c r="I2" s="164" t="inlineStr">
        <is>
          <t>Paul COO</t>
        </is>
      </c>
      <c r="J2" s="164" t="inlineStr">
        <is>
          <t>Non-binary</t>
        </is>
      </c>
      <c r="K2" s="117" t="n">
        <v>55</v>
      </c>
      <c r="L2" s="165" t="n">
        <v>5</v>
      </c>
      <c r="M2" s="120" t="n">
        <v>0.953</v>
      </c>
      <c r="N2" s="117" t="n">
        <v>73</v>
      </c>
      <c r="O2" s="117" t="n">
        <v>0</v>
      </c>
      <c r="P2" s="164" t="inlineStr">
        <is>
          <t>Active</t>
        </is>
      </c>
      <c r="Q2" s="164" t="inlineStr">
        <is>
          <t>2019-02-02</t>
        </is>
      </c>
      <c r="R2" s="164" t="inlineStr">
        <is>
          <t>Toronto</t>
        </is>
      </c>
      <c r="S2" s="164" t="inlineStr">
        <is>
          <t>Bachelor's</t>
        </is>
      </c>
      <c r="T2" s="164" t="inlineStr">
        <is>
          <t>High potential</t>
        </is>
      </c>
    </row>
    <row r="3" ht="15" customHeight="1" s="90">
      <c r="A3" s="123" t="inlineStr">
        <is>
          <t>EMP1001</t>
        </is>
      </c>
      <c r="B3" s="123" t="inlineStr">
        <is>
          <t>Mary Johnson</t>
        </is>
      </c>
      <c r="C3" s="123" t="inlineStr">
        <is>
          <t>Sales</t>
        </is>
      </c>
      <c r="D3" s="123" t="inlineStr">
        <is>
          <t>Business Dev Rep</t>
        </is>
      </c>
      <c r="E3" s="126" t="n">
        <v>3</v>
      </c>
      <c r="F3" s="125" t="n">
        <v>86000</v>
      </c>
      <c r="G3" s="125" t="n">
        <v>7500</v>
      </c>
      <c r="H3" s="125">
        <f>F3+G3</f>
        <v/>
      </c>
      <c r="I3" s="166" t="inlineStr">
        <is>
          <t>Amy VP-Eng</t>
        </is>
      </c>
      <c r="J3" s="166" t="inlineStr">
        <is>
          <t>Non-binary</t>
        </is>
      </c>
      <c r="K3" s="124" t="n">
        <v>27</v>
      </c>
      <c r="L3" s="167" t="n">
        <v>4</v>
      </c>
      <c r="M3" s="127" t="n">
        <v>0.852</v>
      </c>
      <c r="N3" s="124" t="n">
        <v>68</v>
      </c>
      <c r="O3" s="124" t="n">
        <v>2</v>
      </c>
      <c r="P3" s="166" t="inlineStr">
        <is>
          <t>Active</t>
        </is>
      </c>
      <c r="Q3" s="166" t="inlineStr">
        <is>
          <t>2013-09-03</t>
        </is>
      </c>
      <c r="R3" s="166" t="inlineStr">
        <is>
          <t>London</t>
        </is>
      </c>
      <c r="S3" s="166" t="inlineStr">
        <is>
          <t>Bachelor's</t>
        </is>
      </c>
      <c r="T3" s="166" t="inlineStr">
        <is>
          <t>High potential</t>
        </is>
      </c>
    </row>
    <row r="4" ht="15" customHeight="1" s="90">
      <c r="A4" s="116" t="inlineStr">
        <is>
          <t>EMP1002</t>
        </is>
      </c>
      <c r="B4" s="116" t="inlineStr">
        <is>
          <t>Robert Williams</t>
        </is>
      </c>
      <c r="C4" s="116" t="inlineStr">
        <is>
          <t>Marketing</t>
        </is>
      </c>
      <c r="D4" s="116" t="inlineStr">
        <is>
          <t>Marketing Specialist</t>
        </is>
      </c>
      <c r="E4" s="119" t="n">
        <v>7.3</v>
      </c>
      <c r="F4" s="118" t="n">
        <v>80000</v>
      </c>
      <c r="G4" s="118" t="n">
        <v>4500</v>
      </c>
      <c r="H4" s="118">
        <f>F4+G4</f>
        <v/>
      </c>
      <c r="I4" s="164" t="inlineStr">
        <is>
          <t>Kat VP-Prod</t>
        </is>
      </c>
      <c r="J4" s="164" t="inlineStr">
        <is>
          <t>Non-binary</t>
        </is>
      </c>
      <c r="K4" s="117" t="n">
        <v>27</v>
      </c>
      <c r="L4" s="165" t="n">
        <v>2</v>
      </c>
      <c r="M4" s="120" t="n">
        <v>0.929</v>
      </c>
      <c r="N4" s="117" t="n">
        <v>46</v>
      </c>
      <c r="O4" s="117" t="n">
        <v>3</v>
      </c>
      <c r="P4" s="164" t="inlineStr">
        <is>
          <t>Active</t>
        </is>
      </c>
      <c r="Q4" s="164" t="inlineStr">
        <is>
          <t>2016-06-19</t>
        </is>
      </c>
      <c r="R4" s="164" t="inlineStr">
        <is>
          <t>Austin</t>
        </is>
      </c>
      <c r="S4" s="164" t="inlineStr">
        <is>
          <t>MBA</t>
        </is>
      </c>
      <c r="T4" s="164" t="inlineStr">
        <is>
          <t>PIP recommended</t>
        </is>
      </c>
    </row>
    <row r="5" ht="15" customHeight="1" s="90">
      <c r="A5" s="123" t="inlineStr">
        <is>
          <t>EMP1003</t>
        </is>
      </c>
      <c r="B5" s="123" t="inlineStr">
        <is>
          <t>Patricia Brown</t>
        </is>
      </c>
      <c r="C5" s="123" t="inlineStr">
        <is>
          <t>Sales</t>
        </is>
      </c>
      <c r="D5" s="123" t="inlineStr">
        <is>
          <t>Business Dev Rep</t>
        </is>
      </c>
      <c r="E5" s="126" t="n">
        <v>4</v>
      </c>
      <c r="F5" s="125" t="n">
        <v>74000</v>
      </c>
      <c r="G5" s="125" t="n">
        <v>12500</v>
      </c>
      <c r="H5" s="125">
        <f>F5+G5</f>
        <v/>
      </c>
      <c r="I5" s="166" t="inlineStr">
        <is>
          <t>Jane CEO</t>
        </is>
      </c>
      <c r="J5" s="166" t="inlineStr">
        <is>
          <t>Non-binary</t>
        </is>
      </c>
      <c r="K5" s="124" t="n">
        <v>57</v>
      </c>
      <c r="L5" s="167" t="n">
        <v>3</v>
      </c>
      <c r="M5" s="127" t="n">
        <v>0.978</v>
      </c>
      <c r="N5" s="124" t="n">
        <v>54</v>
      </c>
      <c r="O5" s="124" t="n">
        <v>2</v>
      </c>
      <c r="P5" s="166" t="inlineStr">
        <is>
          <t>Active</t>
        </is>
      </c>
      <c r="Q5" s="166" t="inlineStr">
        <is>
          <t>2014-01-06</t>
        </is>
      </c>
      <c r="R5" s="166" t="inlineStr">
        <is>
          <t>San Francisco</t>
        </is>
      </c>
      <c r="S5" s="166" t="inlineStr">
        <is>
          <t>Bachelor's</t>
        </is>
      </c>
      <c r="T5" s="166" t="inlineStr">
        <is>
          <t>Standard performer</t>
        </is>
      </c>
    </row>
    <row r="6" ht="15" customHeight="1" s="90">
      <c r="A6" s="116" t="inlineStr">
        <is>
          <t>EMP1004</t>
        </is>
      </c>
      <c r="B6" s="116" t="inlineStr">
        <is>
          <t>John Jones</t>
        </is>
      </c>
      <c r="C6" s="116" t="inlineStr">
        <is>
          <t>IT Support</t>
        </is>
      </c>
      <c r="D6" s="116" t="inlineStr">
        <is>
          <t>Security Analyst</t>
        </is>
      </c>
      <c r="E6" s="119" t="n">
        <v>9.9</v>
      </c>
      <c r="F6" s="118" t="n">
        <v>52000</v>
      </c>
      <c r="G6" s="118" t="n">
        <v>8500</v>
      </c>
      <c r="H6" s="118">
        <f>F6+G6</f>
        <v/>
      </c>
      <c r="I6" s="164" t="inlineStr">
        <is>
          <t>Sara CFO</t>
        </is>
      </c>
      <c r="J6" s="164" t="inlineStr">
        <is>
          <t>Female</t>
        </is>
      </c>
      <c r="K6" s="117" t="n">
        <v>58</v>
      </c>
      <c r="L6" s="165" t="n">
        <v>5</v>
      </c>
      <c r="M6" s="120" t="n">
        <v>0.87</v>
      </c>
      <c r="N6" s="117" t="n">
        <v>61</v>
      </c>
      <c r="O6" s="117" t="n">
        <v>3</v>
      </c>
      <c r="P6" s="164" t="inlineStr">
        <is>
          <t>Active</t>
        </is>
      </c>
      <c r="Q6" s="164" t="inlineStr">
        <is>
          <t>2019-12-05</t>
        </is>
      </c>
      <c r="R6" s="164" t="inlineStr">
        <is>
          <t>Chicago</t>
        </is>
      </c>
      <c r="S6" s="164" t="inlineStr">
        <is>
          <t>Bachelor's</t>
        </is>
      </c>
      <c r="T6" s="164" t="inlineStr">
        <is>
          <t>High potential</t>
        </is>
      </c>
    </row>
    <row r="7" ht="15" customHeight="1" s="90">
      <c r="A7" s="123" t="inlineStr">
        <is>
          <t>EMP1005</t>
        </is>
      </c>
      <c r="B7" s="123" t="inlineStr">
        <is>
          <t>Jennifer Garcia</t>
        </is>
      </c>
      <c r="C7" s="123" t="inlineStr">
        <is>
          <t>Engineering</t>
        </is>
      </c>
      <c r="D7" s="123" t="inlineStr">
        <is>
          <t>Lead Engineer</t>
        </is>
      </c>
      <c r="E7" s="126" t="n">
        <v>0.7</v>
      </c>
      <c r="F7" s="125" t="n">
        <v>94000</v>
      </c>
      <c r="G7" s="125" t="n">
        <v>6000</v>
      </c>
      <c r="H7" s="125">
        <f>F7+G7</f>
        <v/>
      </c>
      <c r="I7" s="166" t="inlineStr">
        <is>
          <t>Rex VP-Mktg</t>
        </is>
      </c>
      <c r="J7" s="166" t="inlineStr">
        <is>
          <t>Female</t>
        </is>
      </c>
      <c r="K7" s="124" t="n">
        <v>36</v>
      </c>
      <c r="L7" s="167" t="n">
        <v>3</v>
      </c>
      <c r="M7" s="127" t="n">
        <v>0.873</v>
      </c>
      <c r="N7" s="124" t="n">
        <v>51</v>
      </c>
      <c r="O7" s="124" t="n">
        <v>1</v>
      </c>
      <c r="P7" s="166" t="inlineStr">
        <is>
          <t>Active</t>
        </is>
      </c>
      <c r="Q7" s="166" t="inlineStr">
        <is>
          <t>2018-03-05</t>
        </is>
      </c>
      <c r="R7" s="166" t="inlineStr">
        <is>
          <t>Toronto</t>
        </is>
      </c>
      <c r="S7" s="166" t="inlineStr">
        <is>
          <t>Associate's</t>
        </is>
      </c>
      <c r="T7" s="166" t="inlineStr">
        <is>
          <t>Standard performer</t>
        </is>
      </c>
    </row>
    <row r="8" ht="15" customHeight="1" s="90">
      <c r="A8" s="116" t="inlineStr">
        <is>
          <t>EMP1006</t>
        </is>
      </c>
      <c r="B8" s="116" t="inlineStr">
        <is>
          <t>Michael Miller</t>
        </is>
      </c>
      <c r="C8" s="116" t="inlineStr">
        <is>
          <t>Sales</t>
        </is>
      </c>
      <c r="D8" s="116" t="inlineStr">
        <is>
          <t>Sales Rep</t>
        </is>
      </c>
      <c r="E8" s="119" t="n">
        <v>9.5</v>
      </c>
      <c r="F8" s="118" t="n">
        <v>77000</v>
      </c>
      <c r="G8" s="118" t="n">
        <v>10000</v>
      </c>
      <c r="H8" s="118">
        <f>F8+G8</f>
        <v/>
      </c>
      <c r="I8" s="164" t="inlineStr">
        <is>
          <t>Rex VP-Mktg</t>
        </is>
      </c>
      <c r="J8" s="164" t="inlineStr">
        <is>
          <t>Non-binary</t>
        </is>
      </c>
      <c r="K8" s="117" t="n">
        <v>34</v>
      </c>
      <c r="L8" s="165" t="n">
        <v>4</v>
      </c>
      <c r="M8" s="120" t="n">
        <v>0.961</v>
      </c>
      <c r="N8" s="117" t="n">
        <v>75</v>
      </c>
      <c r="O8" s="117" t="n">
        <v>5</v>
      </c>
      <c r="P8" s="164" t="inlineStr">
        <is>
          <t>Active</t>
        </is>
      </c>
      <c r="Q8" s="164" t="inlineStr">
        <is>
          <t>2016-07-31</t>
        </is>
      </c>
      <c r="R8" s="164" t="inlineStr">
        <is>
          <t>San Francisco</t>
        </is>
      </c>
      <c r="S8" s="164" t="inlineStr">
        <is>
          <t>MBA</t>
        </is>
      </c>
      <c r="T8" s="164" t="inlineStr">
        <is>
          <t>High potential</t>
        </is>
      </c>
    </row>
    <row r="9" ht="15" customHeight="1" s="90">
      <c r="A9" s="123" t="inlineStr">
        <is>
          <t>EMP1007</t>
        </is>
      </c>
      <c r="B9" s="123" t="inlineStr">
        <is>
          <t>Linda Davis</t>
        </is>
      </c>
      <c r="C9" s="123" t="inlineStr">
        <is>
          <t>HR</t>
        </is>
      </c>
      <c r="D9" s="123" t="inlineStr">
        <is>
          <t>HRBP</t>
        </is>
      </c>
      <c r="E9" s="126" t="n">
        <v>7.2</v>
      </c>
      <c r="F9" s="125" t="n">
        <v>70000</v>
      </c>
      <c r="G9" s="125" t="n">
        <v>7500</v>
      </c>
      <c r="H9" s="125">
        <f>F9+G9</f>
        <v/>
      </c>
      <c r="I9" s="166" t="inlineStr">
        <is>
          <t>Paul COO</t>
        </is>
      </c>
      <c r="J9" s="166" t="inlineStr">
        <is>
          <t>Male</t>
        </is>
      </c>
      <c r="K9" s="124" t="n">
        <v>30</v>
      </c>
      <c r="L9" s="167" t="n">
        <v>3</v>
      </c>
      <c r="M9" s="127" t="n">
        <v>0.964</v>
      </c>
      <c r="N9" s="124" t="n">
        <v>64</v>
      </c>
      <c r="O9" s="124" t="n">
        <v>4</v>
      </c>
      <c r="P9" s="166" t="inlineStr">
        <is>
          <t>Active</t>
        </is>
      </c>
      <c r="Q9" s="166" t="inlineStr">
        <is>
          <t>2016-11-28</t>
        </is>
      </c>
      <c r="R9" s="166" t="inlineStr">
        <is>
          <t>Chicago</t>
        </is>
      </c>
      <c r="S9" s="166" t="inlineStr">
        <is>
          <t>PhD</t>
        </is>
      </c>
      <c r="T9" s="166" t="inlineStr">
        <is>
          <t>Standard performer</t>
        </is>
      </c>
    </row>
    <row r="10" ht="15" customHeight="1" s="90">
      <c r="A10" s="116" t="inlineStr">
        <is>
          <t>EMP1008</t>
        </is>
      </c>
      <c r="B10" s="116" t="inlineStr">
        <is>
          <t>David Wilson</t>
        </is>
      </c>
      <c r="C10" s="116" t="inlineStr">
        <is>
          <t>Operations</t>
        </is>
      </c>
      <c r="D10" s="116" t="inlineStr">
        <is>
          <t>Supply Chain Lead</t>
        </is>
      </c>
      <c r="E10" s="119" t="n">
        <v>11.8</v>
      </c>
      <c r="F10" s="118" t="n">
        <v>94000</v>
      </c>
      <c r="G10" s="118" t="n">
        <v>12000</v>
      </c>
      <c r="H10" s="118">
        <f>F10+G10</f>
        <v/>
      </c>
      <c r="I10" s="164" t="inlineStr">
        <is>
          <t>Tom VP-Sales</t>
        </is>
      </c>
      <c r="J10" s="164" t="inlineStr">
        <is>
          <t>Male</t>
        </is>
      </c>
      <c r="K10" s="117" t="n">
        <v>34</v>
      </c>
      <c r="L10" s="165" t="n">
        <v>5</v>
      </c>
      <c r="M10" s="120" t="n">
        <v>0.845</v>
      </c>
      <c r="N10" s="117" t="n">
        <v>49</v>
      </c>
      <c r="O10" s="117" t="n">
        <v>2</v>
      </c>
      <c r="P10" s="164" t="inlineStr">
        <is>
          <t>Active</t>
        </is>
      </c>
      <c r="Q10" s="164" t="inlineStr">
        <is>
          <t>2018-03-15</t>
        </is>
      </c>
      <c r="R10" s="164" t="inlineStr">
        <is>
          <t>Chicago</t>
        </is>
      </c>
      <c r="S10" s="164" t="inlineStr">
        <is>
          <t>Associate's</t>
        </is>
      </c>
      <c r="T10" s="164" t="inlineStr">
        <is>
          <t>High potential</t>
        </is>
      </c>
    </row>
    <row r="11" ht="15" customHeight="1" s="90">
      <c r="A11" s="123" t="inlineStr">
        <is>
          <t>EMP1009</t>
        </is>
      </c>
      <c r="B11" s="123" t="inlineStr">
        <is>
          <t>Barbara Taylor</t>
        </is>
      </c>
      <c r="C11" s="123" t="inlineStr">
        <is>
          <t>Legal</t>
        </is>
      </c>
      <c r="D11" s="123" t="inlineStr">
        <is>
          <t>Contract Manager</t>
        </is>
      </c>
      <c r="E11" s="126" t="n">
        <v>1.6</v>
      </c>
      <c r="F11" s="125" t="n">
        <v>89000</v>
      </c>
      <c r="G11" s="125" t="n">
        <v>9000</v>
      </c>
      <c r="H11" s="125">
        <f>F11+G11</f>
        <v/>
      </c>
      <c r="I11" s="166" t="inlineStr">
        <is>
          <t>Amy VP-Eng</t>
        </is>
      </c>
      <c r="J11" s="166" t="inlineStr">
        <is>
          <t>Male</t>
        </is>
      </c>
      <c r="K11" s="124" t="n">
        <v>22</v>
      </c>
      <c r="L11" s="167" t="n">
        <v>3</v>
      </c>
      <c r="M11" s="127" t="n">
        <v>0.883</v>
      </c>
      <c r="N11" s="124" t="n">
        <v>25</v>
      </c>
      <c r="O11" s="124" t="n">
        <v>4</v>
      </c>
      <c r="P11" s="166" t="inlineStr">
        <is>
          <t>Active</t>
        </is>
      </c>
      <c r="Q11" s="166" t="inlineStr">
        <is>
          <t>2019-04-05</t>
        </is>
      </c>
      <c r="R11" s="166" t="inlineStr">
        <is>
          <t>London</t>
        </is>
      </c>
      <c r="S11" s="166" t="inlineStr">
        <is>
          <t>MBA</t>
        </is>
      </c>
      <c r="T11" s="166" t="inlineStr">
        <is>
          <t>Standard performer</t>
        </is>
      </c>
    </row>
    <row r="12" ht="15" customHeight="1" s="90">
      <c r="A12" s="116" t="inlineStr">
        <is>
          <t>EMP1010</t>
        </is>
      </c>
      <c r="B12" s="116" t="inlineStr">
        <is>
          <t>Richard Anderson</t>
        </is>
      </c>
      <c r="C12" s="116" t="inlineStr">
        <is>
          <t>HR</t>
        </is>
      </c>
      <c r="D12" s="116" t="inlineStr">
        <is>
          <t>HRBP</t>
        </is>
      </c>
      <c r="E12" s="119" t="n">
        <v>11.7</v>
      </c>
      <c r="F12" s="118" t="n">
        <v>88000</v>
      </c>
      <c r="G12" s="118" t="n">
        <v>8000</v>
      </c>
      <c r="H12" s="118">
        <f>F12+G12</f>
        <v/>
      </c>
      <c r="I12" s="164" t="inlineStr">
        <is>
          <t>Paul COO</t>
        </is>
      </c>
      <c r="J12" s="164" t="inlineStr">
        <is>
          <t>Non-binary</t>
        </is>
      </c>
      <c r="K12" s="117" t="n">
        <v>42</v>
      </c>
      <c r="L12" s="165" t="n">
        <v>5</v>
      </c>
      <c r="M12" s="120" t="n">
        <v>0.953</v>
      </c>
      <c r="N12" s="117" t="n">
        <v>44</v>
      </c>
      <c r="O12" s="117" t="n">
        <v>0</v>
      </c>
      <c r="P12" s="164" t="inlineStr">
        <is>
          <t>Active</t>
        </is>
      </c>
      <c r="Q12" s="164" t="inlineStr">
        <is>
          <t>2023-11-18</t>
        </is>
      </c>
      <c r="R12" s="164" t="inlineStr">
        <is>
          <t>London</t>
        </is>
      </c>
      <c r="S12" s="164" t="inlineStr">
        <is>
          <t>Bachelor's</t>
        </is>
      </c>
      <c r="T12" s="164" t="inlineStr">
        <is>
          <t>High potential</t>
        </is>
      </c>
    </row>
    <row r="13" ht="15" customHeight="1" s="90">
      <c r="A13" s="123" t="inlineStr">
        <is>
          <t>EMP1011</t>
        </is>
      </c>
      <c r="B13" s="123" t="inlineStr">
        <is>
          <t>Susan Thomas</t>
        </is>
      </c>
      <c r="C13" s="123" t="inlineStr">
        <is>
          <t>Customer Success</t>
        </is>
      </c>
      <c r="D13" s="123" t="inlineStr">
        <is>
          <t>CS Director</t>
        </is>
      </c>
      <c r="E13" s="126" t="n">
        <v>6.7</v>
      </c>
      <c r="F13" s="125" t="n">
        <v>61000</v>
      </c>
      <c r="G13" s="125" t="n">
        <v>8000</v>
      </c>
      <c r="H13" s="125">
        <f>F13+G13</f>
        <v/>
      </c>
      <c r="I13" s="166" t="inlineStr">
        <is>
          <t>Rex VP-Mktg</t>
        </is>
      </c>
      <c r="J13" s="166" t="inlineStr">
        <is>
          <t>Non-binary</t>
        </is>
      </c>
      <c r="K13" s="124" t="n">
        <v>23</v>
      </c>
      <c r="L13" s="167" t="n">
        <v>3</v>
      </c>
      <c r="M13" s="127" t="n">
        <v>0.906</v>
      </c>
      <c r="N13" s="124" t="n">
        <v>15</v>
      </c>
      <c r="O13" s="124" t="n">
        <v>2</v>
      </c>
      <c r="P13" s="166" t="inlineStr">
        <is>
          <t>Active</t>
        </is>
      </c>
      <c r="Q13" s="166" t="inlineStr">
        <is>
          <t>2016-05-13</t>
        </is>
      </c>
      <c r="R13" s="166" t="inlineStr">
        <is>
          <t>Remote</t>
        </is>
      </c>
      <c r="S13" s="166" t="inlineStr">
        <is>
          <t>Bachelor's</t>
        </is>
      </c>
      <c r="T13" s="166" t="inlineStr">
        <is>
          <t>Standard performer</t>
        </is>
      </c>
    </row>
    <row r="14" ht="15" customHeight="1" s="90">
      <c r="A14" s="116" t="inlineStr">
        <is>
          <t>EMP1012</t>
        </is>
      </c>
      <c r="B14" s="116" t="inlineStr">
        <is>
          <t>Thomas Jackson</t>
        </is>
      </c>
      <c r="C14" s="116" t="inlineStr">
        <is>
          <t>Marketing</t>
        </is>
      </c>
      <c r="D14" s="116" t="inlineStr">
        <is>
          <t>Brand Manager</t>
        </is>
      </c>
      <c r="E14" s="119" t="n">
        <v>2.7</v>
      </c>
      <c r="F14" s="118" t="n">
        <v>98000</v>
      </c>
      <c r="G14" s="118" t="n">
        <v>13500</v>
      </c>
      <c r="H14" s="118">
        <f>F14+G14</f>
        <v/>
      </c>
      <c r="I14" s="164" t="inlineStr">
        <is>
          <t>Sara CFO</t>
        </is>
      </c>
      <c r="J14" s="164" t="inlineStr">
        <is>
          <t>Non-binary</t>
        </is>
      </c>
      <c r="K14" s="117" t="n">
        <v>30</v>
      </c>
      <c r="L14" s="165" t="n">
        <v>4</v>
      </c>
      <c r="M14" s="120" t="n">
        <v>0.839</v>
      </c>
      <c r="N14" s="117" t="n">
        <v>64</v>
      </c>
      <c r="O14" s="117" t="n">
        <v>3</v>
      </c>
      <c r="P14" s="164" t="inlineStr">
        <is>
          <t>Active</t>
        </is>
      </c>
      <c r="Q14" s="164" t="inlineStr">
        <is>
          <t>2014-05-05</t>
        </is>
      </c>
      <c r="R14" s="164" t="inlineStr">
        <is>
          <t>San Francisco</t>
        </is>
      </c>
      <c r="S14" s="164" t="inlineStr">
        <is>
          <t>PhD</t>
        </is>
      </c>
      <c r="T14" s="164" t="inlineStr">
        <is>
          <t>High potential</t>
        </is>
      </c>
    </row>
    <row r="15" ht="15" customHeight="1" s="90">
      <c r="A15" s="123" t="inlineStr">
        <is>
          <t>EMP1013</t>
        </is>
      </c>
      <c r="B15" s="123" t="inlineStr">
        <is>
          <t>Jessica White</t>
        </is>
      </c>
      <c r="C15" s="123" t="inlineStr">
        <is>
          <t>Engineering</t>
        </is>
      </c>
      <c r="D15" s="123" t="inlineStr">
        <is>
          <t>Senior Engineer</t>
        </is>
      </c>
      <c r="E15" s="126" t="n">
        <v>6.1</v>
      </c>
      <c r="F15" s="125" t="n">
        <v>100000</v>
      </c>
      <c r="G15" s="125" t="n">
        <v>11000</v>
      </c>
      <c r="H15" s="125">
        <f>F15+G15</f>
        <v/>
      </c>
      <c r="I15" s="166" t="inlineStr">
        <is>
          <t>Tom VP-Sales</t>
        </is>
      </c>
      <c r="J15" s="166" t="inlineStr">
        <is>
          <t>Male</t>
        </is>
      </c>
      <c r="K15" s="124" t="n">
        <v>34</v>
      </c>
      <c r="L15" s="167" t="n">
        <v>2</v>
      </c>
      <c r="M15" s="127" t="n">
        <v>0.969</v>
      </c>
      <c r="N15" s="124" t="n">
        <v>58</v>
      </c>
      <c r="O15" s="124" t="n">
        <v>4</v>
      </c>
      <c r="P15" s="166" t="inlineStr">
        <is>
          <t>Active</t>
        </is>
      </c>
      <c r="Q15" s="166" t="inlineStr">
        <is>
          <t>2021-03-05</t>
        </is>
      </c>
      <c r="R15" s="166" t="inlineStr">
        <is>
          <t>Chicago</t>
        </is>
      </c>
      <c r="S15" s="166" t="inlineStr">
        <is>
          <t>Bachelor's</t>
        </is>
      </c>
      <c r="T15" s="166" t="inlineStr">
        <is>
          <t>PIP recommended</t>
        </is>
      </c>
    </row>
    <row r="16" ht="15" customHeight="1" s="90">
      <c r="A16" s="116" t="inlineStr">
        <is>
          <t>EMP1014</t>
        </is>
      </c>
      <c r="B16" s="116" t="inlineStr">
        <is>
          <t>Charles Harris</t>
        </is>
      </c>
      <c r="C16" s="116" t="inlineStr">
        <is>
          <t>Engineering</t>
        </is>
      </c>
      <c r="D16" s="116" t="inlineStr">
        <is>
          <t>DevOps Engineer</t>
        </is>
      </c>
      <c r="E16" s="119" t="n">
        <v>7</v>
      </c>
      <c r="F16" s="118" t="n">
        <v>93000</v>
      </c>
      <c r="G16" s="118" t="n">
        <v>14000</v>
      </c>
      <c r="H16" s="118">
        <f>F16+G16</f>
        <v/>
      </c>
      <c r="I16" s="164" t="inlineStr">
        <is>
          <t>Amy VP-Eng</t>
        </is>
      </c>
      <c r="J16" s="164" t="inlineStr">
        <is>
          <t>Male</t>
        </is>
      </c>
      <c r="K16" s="117" t="n">
        <v>28</v>
      </c>
      <c r="L16" s="165" t="n">
        <v>3</v>
      </c>
      <c r="M16" s="120" t="n">
        <v>0.965</v>
      </c>
      <c r="N16" s="117" t="n">
        <v>14</v>
      </c>
      <c r="O16" s="117" t="n">
        <v>5</v>
      </c>
      <c r="P16" s="164" t="inlineStr">
        <is>
          <t>Active</t>
        </is>
      </c>
      <c r="Q16" s="164" t="inlineStr">
        <is>
          <t>2017-09-05</t>
        </is>
      </c>
      <c r="R16" s="164" t="inlineStr">
        <is>
          <t>Austin</t>
        </is>
      </c>
      <c r="S16" s="164" t="inlineStr">
        <is>
          <t>Bachelor's</t>
        </is>
      </c>
      <c r="T16" s="164" t="inlineStr">
        <is>
          <t>Standard performer</t>
        </is>
      </c>
    </row>
    <row r="17" ht="15" customHeight="1" s="90">
      <c r="A17" s="123" t="inlineStr">
        <is>
          <t>EMP1015</t>
        </is>
      </c>
      <c r="B17" s="123" t="inlineStr">
        <is>
          <t>Sarah Martin</t>
        </is>
      </c>
      <c r="C17" s="123" t="inlineStr">
        <is>
          <t>Engineering</t>
        </is>
      </c>
      <c r="D17" s="123" t="inlineStr">
        <is>
          <t>Lead Engineer</t>
        </is>
      </c>
      <c r="E17" s="126" t="n">
        <v>8.800000000000001</v>
      </c>
      <c r="F17" s="125" t="n">
        <v>84000</v>
      </c>
      <c r="G17" s="125" t="n">
        <v>15000</v>
      </c>
      <c r="H17" s="125">
        <f>F17+G17</f>
        <v/>
      </c>
      <c r="I17" s="166" t="inlineStr">
        <is>
          <t>Rex VP-Mktg</t>
        </is>
      </c>
      <c r="J17" s="166" t="inlineStr">
        <is>
          <t>Non-binary</t>
        </is>
      </c>
      <c r="K17" s="124" t="n">
        <v>49</v>
      </c>
      <c r="L17" s="167" t="n">
        <v>2</v>
      </c>
      <c r="M17" s="127" t="n">
        <v>0.848</v>
      </c>
      <c r="N17" s="124" t="n">
        <v>75</v>
      </c>
      <c r="O17" s="124" t="n">
        <v>4</v>
      </c>
      <c r="P17" s="166" t="inlineStr">
        <is>
          <t>Active</t>
        </is>
      </c>
      <c r="Q17" s="166" t="inlineStr">
        <is>
          <t>2015-06-28</t>
        </is>
      </c>
      <c r="R17" s="166" t="inlineStr">
        <is>
          <t>Remote</t>
        </is>
      </c>
      <c r="S17" s="166" t="inlineStr">
        <is>
          <t>Master's</t>
        </is>
      </c>
      <c r="T17" s="166" t="inlineStr">
        <is>
          <t>PIP recommended</t>
        </is>
      </c>
    </row>
    <row r="18" ht="15" customHeight="1" s="90">
      <c r="A18" s="116" t="inlineStr">
        <is>
          <t>EMP1016</t>
        </is>
      </c>
      <c r="B18" s="116" t="inlineStr">
        <is>
          <t>Daniel Thompson</t>
        </is>
      </c>
      <c r="C18" s="116" t="inlineStr">
        <is>
          <t>Finance</t>
        </is>
      </c>
      <c r="D18" s="116" t="inlineStr">
        <is>
          <t>Accountant</t>
        </is>
      </c>
      <c r="E18" s="119" t="n">
        <v>0.7</v>
      </c>
      <c r="F18" s="118" t="n">
        <v>99000</v>
      </c>
      <c r="G18" s="118" t="n">
        <v>10000</v>
      </c>
      <c r="H18" s="118">
        <f>F18+G18</f>
        <v/>
      </c>
      <c r="I18" s="164" t="inlineStr">
        <is>
          <t>Lisa VP-HR</t>
        </is>
      </c>
      <c r="J18" s="164" t="inlineStr">
        <is>
          <t>Female</t>
        </is>
      </c>
      <c r="K18" s="117" t="n">
        <v>52</v>
      </c>
      <c r="L18" s="165" t="n">
        <v>4</v>
      </c>
      <c r="M18" s="120" t="n">
        <v>0.999</v>
      </c>
      <c r="N18" s="117" t="n">
        <v>19</v>
      </c>
      <c r="O18" s="117" t="n">
        <v>4</v>
      </c>
      <c r="P18" s="164" t="inlineStr">
        <is>
          <t>Active</t>
        </is>
      </c>
      <c r="Q18" s="164" t="inlineStr">
        <is>
          <t>2016-03-06</t>
        </is>
      </c>
      <c r="R18" s="164" t="inlineStr">
        <is>
          <t>London</t>
        </is>
      </c>
      <c r="S18" s="164" t="inlineStr">
        <is>
          <t>Master's</t>
        </is>
      </c>
      <c r="T18" s="164" t="inlineStr">
        <is>
          <t>High potential</t>
        </is>
      </c>
    </row>
    <row r="19" ht="15" customHeight="1" s="90">
      <c r="A19" s="123" t="inlineStr">
        <is>
          <t>EMP1017</t>
        </is>
      </c>
      <c r="B19" s="123" t="inlineStr">
        <is>
          <t>Karen Young</t>
        </is>
      </c>
      <c r="C19" s="123" t="inlineStr">
        <is>
          <t>Sales</t>
        </is>
      </c>
      <c r="D19" s="123" t="inlineStr">
        <is>
          <t>Sales Rep</t>
        </is>
      </c>
      <c r="E19" s="126" t="n">
        <v>1.6</v>
      </c>
      <c r="F19" s="125" t="n">
        <v>69000</v>
      </c>
      <c r="G19" s="125" t="n">
        <v>12000</v>
      </c>
      <c r="H19" s="125">
        <f>F19+G19</f>
        <v/>
      </c>
      <c r="I19" s="166" t="inlineStr">
        <is>
          <t>Kat VP-Prod</t>
        </is>
      </c>
      <c r="J19" s="166" t="inlineStr">
        <is>
          <t>Female</t>
        </is>
      </c>
      <c r="K19" s="124" t="n">
        <v>57</v>
      </c>
      <c r="L19" s="167" t="n">
        <v>4</v>
      </c>
      <c r="M19" s="127" t="n">
        <v>0.823</v>
      </c>
      <c r="N19" s="124" t="n">
        <v>11</v>
      </c>
      <c r="O19" s="124" t="n">
        <v>4</v>
      </c>
      <c r="P19" s="166" t="inlineStr">
        <is>
          <t>Active</t>
        </is>
      </c>
      <c r="Q19" s="166" t="inlineStr">
        <is>
          <t>2016-06-26</t>
        </is>
      </c>
      <c r="R19" s="166" t="inlineStr">
        <is>
          <t>Remote</t>
        </is>
      </c>
      <c r="S19" s="166" t="inlineStr">
        <is>
          <t>PhD</t>
        </is>
      </c>
      <c r="T19" s="166" t="inlineStr">
        <is>
          <t>High potential</t>
        </is>
      </c>
    </row>
    <row r="20" ht="15" customHeight="1" s="90">
      <c r="A20" s="116" t="inlineStr">
        <is>
          <t>EMP1018</t>
        </is>
      </c>
      <c r="B20" s="116" t="inlineStr">
        <is>
          <t>Matthew Lee</t>
        </is>
      </c>
      <c r="C20" s="116" t="inlineStr">
        <is>
          <t>Customer Success</t>
        </is>
      </c>
      <c r="D20" s="116" t="inlineStr">
        <is>
          <t>CS Director</t>
        </is>
      </c>
      <c r="E20" s="119" t="n">
        <v>9.199999999999999</v>
      </c>
      <c r="F20" s="118" t="n">
        <v>81000</v>
      </c>
      <c r="G20" s="118" t="n">
        <v>5500</v>
      </c>
      <c r="H20" s="118">
        <f>F20+G20</f>
        <v/>
      </c>
      <c r="I20" s="164" t="inlineStr">
        <is>
          <t>Rex VP-Mktg</t>
        </is>
      </c>
      <c r="J20" s="164" t="inlineStr">
        <is>
          <t>Non-binary</t>
        </is>
      </c>
      <c r="K20" s="117" t="n">
        <v>40</v>
      </c>
      <c r="L20" s="165" t="n">
        <v>3</v>
      </c>
      <c r="M20" s="120" t="n">
        <v>0.926</v>
      </c>
      <c r="N20" s="117" t="n">
        <v>55</v>
      </c>
      <c r="O20" s="117" t="n">
        <v>5</v>
      </c>
      <c r="P20" s="164" t="inlineStr">
        <is>
          <t>Active</t>
        </is>
      </c>
      <c r="Q20" s="164" t="inlineStr">
        <is>
          <t>2015-09-08</t>
        </is>
      </c>
      <c r="R20" s="164" t="inlineStr">
        <is>
          <t>Austin</t>
        </is>
      </c>
      <c r="S20" s="164" t="inlineStr">
        <is>
          <t>Bachelor's</t>
        </is>
      </c>
      <c r="T20" s="164" t="inlineStr">
        <is>
          <t>Standard performer</t>
        </is>
      </c>
    </row>
    <row r="21" ht="15" customHeight="1" s="90">
      <c r="A21" s="123" t="inlineStr">
        <is>
          <t>EMP1019</t>
        </is>
      </c>
      <c r="B21" s="123" t="inlineStr">
        <is>
          <t>Lisa Walker</t>
        </is>
      </c>
      <c r="C21" s="123" t="inlineStr">
        <is>
          <t>Executive</t>
        </is>
      </c>
      <c r="D21" s="123" t="inlineStr">
        <is>
          <t>Chief of Staff</t>
        </is>
      </c>
      <c r="E21" s="126" t="n">
        <v>7.9</v>
      </c>
      <c r="F21" s="125" t="n">
        <v>180000</v>
      </c>
      <c r="G21" s="125" t="n">
        <v>31000</v>
      </c>
      <c r="H21" s="125">
        <f>F21+G21</f>
        <v/>
      </c>
      <c r="I21" s="166" t="inlineStr">
        <is>
          <t>Sara CFO</t>
        </is>
      </c>
      <c r="J21" s="166" t="inlineStr">
        <is>
          <t>Male</t>
        </is>
      </c>
      <c r="K21" s="124" t="n">
        <v>51</v>
      </c>
      <c r="L21" s="167" t="n">
        <v>3</v>
      </c>
      <c r="M21" s="127" t="n">
        <v>0.995</v>
      </c>
      <c r="N21" s="124" t="n">
        <v>20</v>
      </c>
      <c r="O21" s="124" t="n">
        <v>1</v>
      </c>
      <c r="P21" s="166" t="inlineStr">
        <is>
          <t>Active</t>
        </is>
      </c>
      <c r="Q21" s="166" t="inlineStr">
        <is>
          <t>2021-01-14</t>
        </is>
      </c>
      <c r="R21" s="166" t="inlineStr">
        <is>
          <t>Toronto</t>
        </is>
      </c>
      <c r="S21" s="166" t="inlineStr">
        <is>
          <t>PhD</t>
        </is>
      </c>
      <c r="T21" s="166" t="inlineStr">
        <is>
          <t>Standard performer</t>
        </is>
      </c>
    </row>
    <row r="22" ht="15" customHeight="1" s="90">
      <c r="A22" s="116" t="inlineStr">
        <is>
          <t>EMP1020</t>
        </is>
      </c>
      <c r="B22" s="116" t="inlineStr">
        <is>
          <t>Anthony Hall</t>
        </is>
      </c>
      <c r="C22" s="116" t="inlineStr">
        <is>
          <t>R&amp;D</t>
        </is>
      </c>
      <c r="D22" s="116" t="inlineStr">
        <is>
          <t>Research Analyst</t>
        </is>
      </c>
      <c r="E22" s="119" t="n">
        <v>8.300000000000001</v>
      </c>
      <c r="F22" s="118" t="n">
        <v>125000</v>
      </c>
      <c r="G22" s="118" t="n">
        <v>23000</v>
      </c>
      <c r="H22" s="118">
        <f>F22+G22</f>
        <v/>
      </c>
      <c r="I22" s="164" t="inlineStr">
        <is>
          <t>Tom VP-Sales</t>
        </is>
      </c>
      <c r="J22" s="164" t="inlineStr">
        <is>
          <t>Non-binary</t>
        </is>
      </c>
      <c r="K22" s="117" t="n">
        <v>26</v>
      </c>
      <c r="L22" s="165" t="n">
        <v>4</v>
      </c>
      <c r="M22" s="120" t="n">
        <v>0.903</v>
      </c>
      <c r="N22" s="117" t="n">
        <v>39</v>
      </c>
      <c r="O22" s="117" t="n">
        <v>1</v>
      </c>
      <c r="P22" s="164" t="inlineStr">
        <is>
          <t>Active</t>
        </is>
      </c>
      <c r="Q22" s="164" t="inlineStr">
        <is>
          <t>2022-01-10</t>
        </is>
      </c>
      <c r="R22" s="164" t="inlineStr">
        <is>
          <t>London</t>
        </is>
      </c>
      <c r="S22" s="164" t="inlineStr">
        <is>
          <t>PhD</t>
        </is>
      </c>
      <c r="T22" s="164" t="inlineStr">
        <is>
          <t>High potential</t>
        </is>
      </c>
    </row>
    <row r="23" ht="15" customHeight="1" s="90">
      <c r="A23" s="123" t="inlineStr">
        <is>
          <t>EMP1021</t>
        </is>
      </c>
      <c r="B23" s="123" t="inlineStr">
        <is>
          <t>Nancy Allen</t>
        </is>
      </c>
      <c r="C23" s="123" t="inlineStr">
        <is>
          <t>Operations</t>
        </is>
      </c>
      <c r="D23" s="123" t="inlineStr">
        <is>
          <t>Operations Manager</t>
        </is>
      </c>
      <c r="E23" s="126" t="n">
        <v>4.4</v>
      </c>
      <c r="F23" s="125" t="n">
        <v>72000</v>
      </c>
      <c r="G23" s="125" t="n">
        <v>10000</v>
      </c>
      <c r="H23" s="125">
        <f>F23+G23</f>
        <v/>
      </c>
      <c r="I23" s="166" t="inlineStr">
        <is>
          <t>Rex VP-Mktg</t>
        </is>
      </c>
      <c r="J23" s="166" t="inlineStr">
        <is>
          <t>Male</t>
        </is>
      </c>
      <c r="K23" s="124" t="n">
        <v>22</v>
      </c>
      <c r="L23" s="167" t="n">
        <v>5</v>
      </c>
      <c r="M23" s="127" t="n">
        <v>0.999</v>
      </c>
      <c r="N23" s="124" t="n">
        <v>46</v>
      </c>
      <c r="O23" s="124" t="n">
        <v>2</v>
      </c>
      <c r="P23" s="166" t="inlineStr">
        <is>
          <t>Active</t>
        </is>
      </c>
      <c r="Q23" s="166" t="inlineStr">
        <is>
          <t>2013-03-27</t>
        </is>
      </c>
      <c r="R23" s="166" t="inlineStr">
        <is>
          <t>Chicago</t>
        </is>
      </c>
      <c r="S23" s="166" t="inlineStr">
        <is>
          <t>Bachelor's</t>
        </is>
      </c>
      <c r="T23" s="166" t="inlineStr">
        <is>
          <t>High potential</t>
        </is>
      </c>
    </row>
    <row r="24" ht="15" customHeight="1" s="90">
      <c r="A24" s="116" t="inlineStr">
        <is>
          <t>EMP1022</t>
        </is>
      </c>
      <c r="B24" s="116" t="inlineStr">
        <is>
          <t>Mark King</t>
        </is>
      </c>
      <c r="C24" s="116" t="inlineStr">
        <is>
          <t>Sales</t>
        </is>
      </c>
      <c r="D24" s="116" t="inlineStr">
        <is>
          <t>Business Dev Rep</t>
        </is>
      </c>
      <c r="E24" s="119" t="n">
        <v>9.6</v>
      </c>
      <c r="F24" s="118" t="n">
        <v>101000</v>
      </c>
      <c r="G24" s="118" t="n">
        <v>17000</v>
      </c>
      <c r="H24" s="118">
        <f>F24+G24</f>
        <v/>
      </c>
      <c r="I24" s="164" t="inlineStr">
        <is>
          <t>Amy VP-Eng</t>
        </is>
      </c>
      <c r="J24" s="164" t="inlineStr">
        <is>
          <t>Female</t>
        </is>
      </c>
      <c r="K24" s="117" t="n">
        <v>38</v>
      </c>
      <c r="L24" s="165" t="n">
        <v>4</v>
      </c>
      <c r="M24" s="120" t="n">
        <v>0.975</v>
      </c>
      <c r="N24" s="117" t="n">
        <v>41</v>
      </c>
      <c r="O24" s="117" t="n">
        <v>2</v>
      </c>
      <c r="P24" s="164" t="inlineStr">
        <is>
          <t>Active</t>
        </is>
      </c>
      <c r="Q24" s="164" t="inlineStr">
        <is>
          <t>2021-10-14</t>
        </is>
      </c>
      <c r="R24" s="164" t="inlineStr">
        <is>
          <t>New York</t>
        </is>
      </c>
      <c r="S24" s="164" t="inlineStr">
        <is>
          <t>Master's</t>
        </is>
      </c>
      <c r="T24" s="164" t="inlineStr">
        <is>
          <t>High potential</t>
        </is>
      </c>
    </row>
    <row r="25" ht="15" customHeight="1" s="90">
      <c r="A25" s="123" t="inlineStr">
        <is>
          <t>EMP1023</t>
        </is>
      </c>
      <c r="B25" s="123" t="inlineStr">
        <is>
          <t>Betty Scott</t>
        </is>
      </c>
      <c r="C25" s="123" t="inlineStr">
        <is>
          <t>Engineering</t>
        </is>
      </c>
      <c r="D25" s="123" t="inlineStr">
        <is>
          <t>DevOps Engineer</t>
        </is>
      </c>
      <c r="E25" s="126" t="n">
        <v>9</v>
      </c>
      <c r="F25" s="125" t="n">
        <v>117000</v>
      </c>
      <c r="G25" s="125" t="n">
        <v>12000</v>
      </c>
      <c r="H25" s="125">
        <f>F25+G25</f>
        <v/>
      </c>
      <c r="I25" s="166" t="inlineStr">
        <is>
          <t>Ben VP-CS</t>
        </is>
      </c>
      <c r="J25" s="166" t="inlineStr">
        <is>
          <t>Non-binary</t>
        </is>
      </c>
      <c r="K25" s="124" t="n">
        <v>31</v>
      </c>
      <c r="L25" s="167" t="n">
        <v>3</v>
      </c>
      <c r="M25" s="127" t="n">
        <v>0.976</v>
      </c>
      <c r="N25" s="124" t="n">
        <v>69</v>
      </c>
      <c r="O25" s="124" t="n">
        <v>3</v>
      </c>
      <c r="P25" s="166" t="inlineStr">
        <is>
          <t>Active</t>
        </is>
      </c>
      <c r="Q25" s="166" t="inlineStr">
        <is>
          <t>2022-11-14</t>
        </is>
      </c>
      <c r="R25" s="166" t="inlineStr">
        <is>
          <t>Austin</t>
        </is>
      </c>
      <c r="S25" s="166" t="inlineStr">
        <is>
          <t>Master's</t>
        </is>
      </c>
      <c r="T25" s="166" t="inlineStr">
        <is>
          <t>Standard performer</t>
        </is>
      </c>
    </row>
    <row r="26" ht="15" customHeight="1" s="90">
      <c r="A26" s="116" t="inlineStr">
        <is>
          <t>EMP1024</t>
        </is>
      </c>
      <c r="B26" s="116" t="inlineStr">
        <is>
          <t>Donald Green</t>
        </is>
      </c>
      <c r="C26" s="116" t="inlineStr">
        <is>
          <t>Engineering</t>
        </is>
      </c>
      <c r="D26" s="116" t="inlineStr">
        <is>
          <t>Lead Engineer</t>
        </is>
      </c>
      <c r="E26" s="119" t="n">
        <v>11.6</v>
      </c>
      <c r="F26" s="118" t="n">
        <v>106000</v>
      </c>
      <c r="G26" s="118" t="n">
        <v>5500</v>
      </c>
      <c r="H26" s="118">
        <f>F26+G26</f>
        <v/>
      </c>
      <c r="I26" s="164" t="inlineStr">
        <is>
          <t>Jane CEO</t>
        </is>
      </c>
      <c r="J26" s="164" t="inlineStr">
        <is>
          <t>Non-binary</t>
        </is>
      </c>
      <c r="K26" s="117" t="n">
        <v>34</v>
      </c>
      <c r="L26" s="165" t="n">
        <v>2</v>
      </c>
      <c r="M26" s="120" t="n">
        <v>0.927</v>
      </c>
      <c r="N26" s="117" t="n">
        <v>36</v>
      </c>
      <c r="O26" s="117" t="n">
        <v>0</v>
      </c>
      <c r="P26" s="164" t="inlineStr">
        <is>
          <t>Active</t>
        </is>
      </c>
      <c r="Q26" s="164" t="inlineStr">
        <is>
          <t>2022-12-02</t>
        </is>
      </c>
      <c r="R26" s="164" t="inlineStr">
        <is>
          <t>Boston</t>
        </is>
      </c>
      <c r="S26" s="164" t="inlineStr">
        <is>
          <t>Bachelor's</t>
        </is>
      </c>
      <c r="T26" s="164" t="inlineStr">
        <is>
          <t>PIP recommended</t>
        </is>
      </c>
    </row>
    <row r="27" ht="15" customHeight="1" s="90">
      <c r="A27" s="123" t="inlineStr">
        <is>
          <t>EMP1025</t>
        </is>
      </c>
      <c r="B27" s="123" t="inlineStr">
        <is>
          <t>Margaret Baker</t>
        </is>
      </c>
      <c r="C27" s="123" t="inlineStr">
        <is>
          <t>Legal</t>
        </is>
      </c>
      <c r="D27" s="123" t="inlineStr">
        <is>
          <t>Senior Counsel</t>
        </is>
      </c>
      <c r="E27" s="126" t="n">
        <v>5.3</v>
      </c>
      <c r="F27" s="125" t="n">
        <v>117000</v>
      </c>
      <c r="G27" s="125" t="n">
        <v>11000</v>
      </c>
      <c r="H27" s="125">
        <f>F27+G27</f>
        <v/>
      </c>
      <c r="I27" s="166" t="inlineStr">
        <is>
          <t>Paul COO</t>
        </is>
      </c>
      <c r="J27" s="166" t="inlineStr">
        <is>
          <t>Non-binary</t>
        </is>
      </c>
      <c r="K27" s="124" t="n">
        <v>41</v>
      </c>
      <c r="L27" s="167" t="n">
        <v>4</v>
      </c>
      <c r="M27" s="127" t="n">
        <v>0.85</v>
      </c>
      <c r="N27" s="124" t="n">
        <v>53</v>
      </c>
      <c r="O27" s="124" t="n">
        <v>0</v>
      </c>
      <c r="P27" s="166" t="inlineStr">
        <is>
          <t>Active</t>
        </is>
      </c>
      <c r="Q27" s="166" t="inlineStr">
        <is>
          <t>2020-12-31</t>
        </is>
      </c>
      <c r="R27" s="166" t="inlineStr">
        <is>
          <t>Chicago</t>
        </is>
      </c>
      <c r="S27" s="166" t="inlineStr">
        <is>
          <t>MBA</t>
        </is>
      </c>
      <c r="T27" s="166" t="inlineStr">
        <is>
          <t>High potential</t>
        </is>
      </c>
    </row>
    <row r="28" ht="15" customHeight="1" s="90">
      <c r="A28" s="116" t="inlineStr">
        <is>
          <t>EMP1026</t>
        </is>
      </c>
      <c r="B28" s="116" t="inlineStr">
        <is>
          <t>Paul Adams</t>
        </is>
      </c>
      <c r="C28" s="116" t="inlineStr">
        <is>
          <t>Sales</t>
        </is>
      </c>
      <c r="D28" s="116" t="inlineStr">
        <is>
          <t>Enterprise AE</t>
        </is>
      </c>
      <c r="E28" s="119" t="n">
        <v>0.6</v>
      </c>
      <c r="F28" s="118" t="n">
        <v>73000</v>
      </c>
      <c r="G28" s="118" t="n">
        <v>8000</v>
      </c>
      <c r="H28" s="118">
        <f>F28+G28</f>
        <v/>
      </c>
      <c r="I28" s="164" t="inlineStr">
        <is>
          <t>Amy VP-Eng</t>
        </is>
      </c>
      <c r="J28" s="164" t="inlineStr">
        <is>
          <t>Female</t>
        </is>
      </c>
      <c r="K28" s="117" t="n">
        <v>49</v>
      </c>
      <c r="L28" s="165" t="n">
        <v>3</v>
      </c>
      <c r="M28" s="120" t="n">
        <v>0.866</v>
      </c>
      <c r="N28" s="117" t="n">
        <v>24</v>
      </c>
      <c r="O28" s="117" t="n">
        <v>4</v>
      </c>
      <c r="P28" s="164" t="inlineStr">
        <is>
          <t>Active</t>
        </is>
      </c>
      <c r="Q28" s="164" t="inlineStr">
        <is>
          <t>2017-09-08</t>
        </is>
      </c>
      <c r="R28" s="164" t="inlineStr">
        <is>
          <t>San Francisco</t>
        </is>
      </c>
      <c r="S28" s="164" t="inlineStr">
        <is>
          <t>Bachelor's</t>
        </is>
      </c>
      <c r="T28" s="164" t="inlineStr">
        <is>
          <t>Standard performer</t>
        </is>
      </c>
    </row>
    <row r="29" ht="15" customHeight="1" s="90">
      <c r="A29" s="123" t="inlineStr">
        <is>
          <t>EMP1027</t>
        </is>
      </c>
      <c r="B29" s="123" t="inlineStr">
        <is>
          <t>Sandra Nelson</t>
        </is>
      </c>
      <c r="C29" s="123" t="inlineStr">
        <is>
          <t>IT Support</t>
        </is>
      </c>
      <c r="D29" s="123" t="inlineStr">
        <is>
          <t>Systems Admin</t>
        </is>
      </c>
      <c r="E29" s="126" t="n">
        <v>6.2</v>
      </c>
      <c r="F29" s="125" t="n">
        <v>73000</v>
      </c>
      <c r="G29" s="125" t="n">
        <v>13500</v>
      </c>
      <c r="H29" s="125">
        <f>F29+G29</f>
        <v/>
      </c>
      <c r="I29" s="166" t="inlineStr">
        <is>
          <t>Sara CFO</t>
        </is>
      </c>
      <c r="J29" s="166" t="inlineStr">
        <is>
          <t>Non-binary</t>
        </is>
      </c>
      <c r="K29" s="124" t="n">
        <v>29</v>
      </c>
      <c r="L29" s="167" t="n">
        <v>3</v>
      </c>
      <c r="M29" s="127" t="n">
        <v>0.897</v>
      </c>
      <c r="N29" s="124" t="n">
        <v>28</v>
      </c>
      <c r="O29" s="124" t="n">
        <v>0</v>
      </c>
      <c r="P29" s="166" t="inlineStr">
        <is>
          <t>Active</t>
        </is>
      </c>
      <c r="Q29" s="166" t="inlineStr">
        <is>
          <t>2020-09-27</t>
        </is>
      </c>
      <c r="R29" s="166" t="inlineStr">
        <is>
          <t>Toronto</t>
        </is>
      </c>
      <c r="S29" s="166" t="inlineStr">
        <is>
          <t>MBA</t>
        </is>
      </c>
      <c r="T29" s="166" t="inlineStr">
        <is>
          <t>Standard performer</t>
        </is>
      </c>
    </row>
    <row r="30" ht="15" customHeight="1" s="90">
      <c r="A30" s="116" t="inlineStr">
        <is>
          <t>EMP1028</t>
        </is>
      </c>
      <c r="B30" s="116" t="inlineStr">
        <is>
          <t>Steven Hill</t>
        </is>
      </c>
      <c r="C30" s="116" t="inlineStr">
        <is>
          <t>Sales</t>
        </is>
      </c>
      <c r="D30" s="116" t="inlineStr">
        <is>
          <t>Sales Rep</t>
        </is>
      </c>
      <c r="E30" s="119" t="n">
        <v>3.9</v>
      </c>
      <c r="F30" s="118" t="n">
        <v>66000</v>
      </c>
      <c r="G30" s="118" t="n">
        <v>11500</v>
      </c>
      <c r="H30" s="118">
        <f>F30+G30</f>
        <v/>
      </c>
      <c r="I30" s="164" t="inlineStr">
        <is>
          <t>Kat VP-Prod</t>
        </is>
      </c>
      <c r="J30" s="164" t="inlineStr">
        <is>
          <t>Female</t>
        </is>
      </c>
      <c r="K30" s="117" t="n">
        <v>32</v>
      </c>
      <c r="L30" s="165" t="n">
        <v>3</v>
      </c>
      <c r="M30" s="120" t="n">
        <v>0.9419999999999999</v>
      </c>
      <c r="N30" s="117" t="n">
        <v>79</v>
      </c>
      <c r="O30" s="117" t="n">
        <v>3</v>
      </c>
      <c r="P30" s="164" t="inlineStr">
        <is>
          <t>Active</t>
        </is>
      </c>
      <c r="Q30" s="164" t="inlineStr">
        <is>
          <t>2023-05-28</t>
        </is>
      </c>
      <c r="R30" s="164" t="inlineStr">
        <is>
          <t>Boston</t>
        </is>
      </c>
      <c r="S30" s="164" t="inlineStr">
        <is>
          <t>Master's</t>
        </is>
      </c>
      <c r="T30" s="164" t="inlineStr">
        <is>
          <t>Standard performer</t>
        </is>
      </c>
    </row>
    <row r="31" ht="15" customHeight="1" s="90">
      <c r="A31" s="123" t="inlineStr">
        <is>
          <t>EMP1029</t>
        </is>
      </c>
      <c r="B31" s="123" t="inlineStr">
        <is>
          <t>Ashley Ramirez</t>
        </is>
      </c>
      <c r="C31" s="123" t="inlineStr">
        <is>
          <t>Engineering</t>
        </is>
      </c>
      <c r="D31" s="123" t="inlineStr">
        <is>
          <t>QA Engineer</t>
        </is>
      </c>
      <c r="E31" s="126" t="n">
        <v>1.6</v>
      </c>
      <c r="F31" s="125" t="n">
        <v>132000</v>
      </c>
      <c r="G31" s="125" t="n">
        <v>15000</v>
      </c>
      <c r="H31" s="125">
        <f>F31+G31</f>
        <v/>
      </c>
      <c r="I31" s="166" t="inlineStr">
        <is>
          <t>Kat VP-Prod</t>
        </is>
      </c>
      <c r="J31" s="166" t="inlineStr">
        <is>
          <t>Non-binary</t>
        </is>
      </c>
      <c r="K31" s="124" t="n">
        <v>23</v>
      </c>
      <c r="L31" s="167" t="n">
        <v>3</v>
      </c>
      <c r="M31" s="127" t="n">
        <v>0.922</v>
      </c>
      <c r="N31" s="124" t="n">
        <v>10</v>
      </c>
      <c r="O31" s="124" t="n">
        <v>2</v>
      </c>
      <c r="P31" s="166" t="inlineStr">
        <is>
          <t>Active</t>
        </is>
      </c>
      <c r="Q31" s="166" t="inlineStr">
        <is>
          <t>2015-06-21</t>
        </is>
      </c>
      <c r="R31" s="166" t="inlineStr">
        <is>
          <t>Toronto</t>
        </is>
      </c>
      <c r="S31" s="166" t="inlineStr">
        <is>
          <t>PhD</t>
        </is>
      </c>
      <c r="T31" s="166" t="inlineStr">
        <is>
          <t>Standard performer</t>
        </is>
      </c>
    </row>
    <row r="32" ht="15" customHeight="1" s="90">
      <c r="A32" s="116" t="inlineStr">
        <is>
          <t>EMP1030</t>
        </is>
      </c>
      <c r="B32" s="116" t="inlineStr">
        <is>
          <t>Andrew Campbell</t>
        </is>
      </c>
      <c r="C32" s="116" t="inlineStr">
        <is>
          <t>Sales</t>
        </is>
      </c>
      <c r="D32" s="116" t="inlineStr">
        <is>
          <t>Enterprise AE</t>
        </is>
      </c>
      <c r="E32" s="119" t="n">
        <v>1</v>
      </c>
      <c r="F32" s="118" t="n">
        <v>83000</v>
      </c>
      <c r="G32" s="118" t="n">
        <v>15500</v>
      </c>
      <c r="H32" s="118">
        <f>F32+G32</f>
        <v/>
      </c>
      <c r="I32" s="164" t="inlineStr">
        <is>
          <t>Paul COO</t>
        </is>
      </c>
      <c r="J32" s="164" t="inlineStr">
        <is>
          <t>Male</t>
        </is>
      </c>
      <c r="K32" s="117" t="n">
        <v>46</v>
      </c>
      <c r="L32" s="165" t="n">
        <v>2</v>
      </c>
      <c r="M32" s="120" t="n">
        <v>0.898</v>
      </c>
      <c r="N32" s="117" t="n">
        <v>54</v>
      </c>
      <c r="O32" s="117" t="n">
        <v>3</v>
      </c>
      <c r="P32" s="164" t="inlineStr">
        <is>
          <t>Active</t>
        </is>
      </c>
      <c r="Q32" s="164" t="inlineStr">
        <is>
          <t>2022-03-29</t>
        </is>
      </c>
      <c r="R32" s="164" t="inlineStr">
        <is>
          <t>Remote</t>
        </is>
      </c>
      <c r="S32" s="164" t="inlineStr">
        <is>
          <t>Bachelor's</t>
        </is>
      </c>
      <c r="T32" s="164" t="inlineStr">
        <is>
          <t>PIP recommended</t>
        </is>
      </c>
    </row>
    <row r="33" ht="15" customHeight="1" s="90">
      <c r="A33" s="123" t="inlineStr">
        <is>
          <t>EMP1031</t>
        </is>
      </c>
      <c r="B33" s="123" t="inlineStr">
        <is>
          <t>Emily Mitchell</t>
        </is>
      </c>
      <c r="C33" s="123" t="inlineStr">
        <is>
          <t>Customer Success</t>
        </is>
      </c>
      <c r="D33" s="123" t="inlineStr">
        <is>
          <t>Account Manager</t>
        </is>
      </c>
      <c r="E33" s="126" t="n">
        <v>4.9</v>
      </c>
      <c r="F33" s="125" t="n">
        <v>70000</v>
      </c>
      <c r="G33" s="125" t="n">
        <v>8000</v>
      </c>
      <c r="H33" s="125">
        <f>F33+G33</f>
        <v/>
      </c>
      <c r="I33" s="166" t="inlineStr">
        <is>
          <t>Tom VP-Sales</t>
        </is>
      </c>
      <c r="J33" s="166" t="inlineStr">
        <is>
          <t>Non-binary</t>
        </is>
      </c>
      <c r="K33" s="124" t="n">
        <v>56</v>
      </c>
      <c r="L33" s="167" t="n">
        <v>4</v>
      </c>
      <c r="M33" s="127" t="n">
        <v>0.962</v>
      </c>
      <c r="N33" s="124" t="n">
        <v>44</v>
      </c>
      <c r="O33" s="124" t="n">
        <v>5</v>
      </c>
      <c r="P33" s="166" t="inlineStr">
        <is>
          <t>Active</t>
        </is>
      </c>
      <c r="Q33" s="166" t="inlineStr">
        <is>
          <t>2017-05-03</t>
        </is>
      </c>
      <c r="R33" s="166" t="inlineStr">
        <is>
          <t>Austin</t>
        </is>
      </c>
      <c r="S33" s="166" t="inlineStr">
        <is>
          <t>Bachelor's</t>
        </is>
      </c>
      <c r="T33" s="166" t="inlineStr">
        <is>
          <t>High potential</t>
        </is>
      </c>
    </row>
    <row r="34" ht="15" customHeight="1" s="90">
      <c r="A34" s="116" t="inlineStr">
        <is>
          <t>EMP1032</t>
        </is>
      </c>
      <c r="B34" s="116" t="inlineStr">
        <is>
          <t>Kenneth Roberts</t>
        </is>
      </c>
      <c r="C34" s="116" t="inlineStr">
        <is>
          <t>Executive</t>
        </is>
      </c>
      <c r="D34" s="116" t="inlineStr">
        <is>
          <t>Chief of Staff</t>
        </is>
      </c>
      <c r="E34" s="119" t="n">
        <v>6</v>
      </c>
      <c r="F34" s="118" t="n">
        <v>123000</v>
      </c>
      <c r="G34" s="118" t="n">
        <v>12000</v>
      </c>
      <c r="H34" s="118">
        <f>F34+G34</f>
        <v/>
      </c>
      <c r="I34" s="164" t="inlineStr">
        <is>
          <t>Sara CFO</t>
        </is>
      </c>
      <c r="J34" s="164" t="inlineStr">
        <is>
          <t>Non-binary</t>
        </is>
      </c>
      <c r="K34" s="117" t="n">
        <v>57</v>
      </c>
      <c r="L34" s="165" t="n">
        <v>3</v>
      </c>
      <c r="M34" s="120" t="n">
        <v>0.835</v>
      </c>
      <c r="N34" s="117" t="n">
        <v>35</v>
      </c>
      <c r="O34" s="117" t="n">
        <v>1</v>
      </c>
      <c r="P34" s="164" t="inlineStr">
        <is>
          <t>Active</t>
        </is>
      </c>
      <c r="Q34" s="164" t="inlineStr">
        <is>
          <t>2016-05-23</t>
        </is>
      </c>
      <c r="R34" s="164" t="inlineStr">
        <is>
          <t>Austin</t>
        </is>
      </c>
      <c r="S34" s="164" t="inlineStr">
        <is>
          <t>Bachelor's</t>
        </is>
      </c>
      <c r="T34" s="164" t="inlineStr">
        <is>
          <t>Standard performer</t>
        </is>
      </c>
    </row>
    <row r="35" ht="15" customHeight="1" s="90">
      <c r="A35" s="123" t="inlineStr">
        <is>
          <t>EMP1033</t>
        </is>
      </c>
      <c r="B35" s="123" t="inlineStr">
        <is>
          <t>Donna Carter</t>
        </is>
      </c>
      <c r="C35" s="123" t="inlineStr">
        <is>
          <t>Legal</t>
        </is>
      </c>
      <c r="D35" s="123" t="inlineStr">
        <is>
          <t>Legal Director</t>
        </is>
      </c>
      <c r="E35" s="126" t="n">
        <v>2.2</v>
      </c>
      <c r="F35" s="125" t="n">
        <v>84000</v>
      </c>
      <c r="G35" s="125" t="n">
        <v>12500</v>
      </c>
      <c r="H35" s="125">
        <f>F35+G35</f>
        <v/>
      </c>
      <c r="I35" s="166" t="inlineStr">
        <is>
          <t>Jane CEO</t>
        </is>
      </c>
      <c r="J35" s="166" t="inlineStr">
        <is>
          <t>Female</t>
        </is>
      </c>
      <c r="K35" s="124" t="n">
        <v>35</v>
      </c>
      <c r="L35" s="167" t="n">
        <v>3</v>
      </c>
      <c r="M35" s="127" t="n">
        <v>0.883</v>
      </c>
      <c r="N35" s="124" t="n">
        <v>16</v>
      </c>
      <c r="O35" s="124" t="n">
        <v>1</v>
      </c>
      <c r="P35" s="166" t="inlineStr">
        <is>
          <t>Active</t>
        </is>
      </c>
      <c r="Q35" s="166" t="inlineStr">
        <is>
          <t>2016-03-16</t>
        </is>
      </c>
      <c r="R35" s="166" t="inlineStr">
        <is>
          <t>Toronto</t>
        </is>
      </c>
      <c r="S35" s="166" t="inlineStr">
        <is>
          <t>PhD</t>
        </is>
      </c>
      <c r="T35" s="166" t="inlineStr">
        <is>
          <t>Standard performer</t>
        </is>
      </c>
    </row>
    <row r="36" ht="15" customHeight="1" s="90">
      <c r="A36" s="116" t="inlineStr">
        <is>
          <t>EMP1034</t>
        </is>
      </c>
      <c r="B36" s="116" t="inlineStr">
        <is>
          <t>Kevin Phillips</t>
        </is>
      </c>
      <c r="C36" s="116" t="inlineStr">
        <is>
          <t>Product</t>
        </is>
      </c>
      <c r="D36" s="116" t="inlineStr">
        <is>
          <t>Product Designer</t>
        </is>
      </c>
      <c r="E36" s="119" t="n">
        <v>3.8</v>
      </c>
      <c r="F36" s="118" t="n">
        <v>87000</v>
      </c>
      <c r="G36" s="118" t="n">
        <v>4500</v>
      </c>
      <c r="H36" s="118">
        <f>F36+G36</f>
        <v/>
      </c>
      <c r="I36" s="164" t="inlineStr">
        <is>
          <t>Sara CFO</t>
        </is>
      </c>
      <c r="J36" s="164" t="inlineStr">
        <is>
          <t>Non-binary</t>
        </is>
      </c>
      <c r="K36" s="117" t="n">
        <v>45</v>
      </c>
      <c r="L36" s="165" t="n">
        <v>2</v>
      </c>
      <c r="M36" s="120" t="n">
        <v>0.985</v>
      </c>
      <c r="N36" s="117" t="n">
        <v>49</v>
      </c>
      <c r="O36" s="117" t="n">
        <v>1</v>
      </c>
      <c r="P36" s="164" t="inlineStr">
        <is>
          <t>Active</t>
        </is>
      </c>
      <c r="Q36" s="164" t="inlineStr">
        <is>
          <t>2013-07-11</t>
        </is>
      </c>
      <c r="R36" s="164" t="inlineStr">
        <is>
          <t>Boston</t>
        </is>
      </c>
      <c r="S36" s="164" t="inlineStr">
        <is>
          <t>MBA</t>
        </is>
      </c>
      <c r="T36" s="164" t="inlineStr">
        <is>
          <t>PIP recommended</t>
        </is>
      </c>
    </row>
    <row r="37" ht="15" customHeight="1" s="90">
      <c r="A37" s="123" t="inlineStr">
        <is>
          <t>EMP1035</t>
        </is>
      </c>
      <c r="B37" s="123" t="inlineStr">
        <is>
          <t>Michelle Evans</t>
        </is>
      </c>
      <c r="C37" s="123" t="inlineStr">
        <is>
          <t>HR</t>
        </is>
      </c>
      <c r="D37" s="123" t="inlineStr">
        <is>
          <t>L&amp;D Specialist</t>
        </is>
      </c>
      <c r="E37" s="126" t="n">
        <v>10.1</v>
      </c>
      <c r="F37" s="125" t="n">
        <v>82000</v>
      </c>
      <c r="G37" s="125" t="n">
        <v>11000</v>
      </c>
      <c r="H37" s="125">
        <f>F37+G37</f>
        <v/>
      </c>
      <c r="I37" s="166" t="inlineStr">
        <is>
          <t>Amy VP-Eng</t>
        </is>
      </c>
      <c r="J37" s="166" t="inlineStr">
        <is>
          <t>Non-binary</t>
        </is>
      </c>
      <c r="K37" s="124" t="n">
        <v>29</v>
      </c>
      <c r="L37" s="167" t="n">
        <v>2</v>
      </c>
      <c r="M37" s="127" t="n">
        <v>0.924</v>
      </c>
      <c r="N37" s="124" t="n">
        <v>57</v>
      </c>
      <c r="O37" s="124" t="n">
        <v>5</v>
      </c>
      <c r="P37" s="166" t="inlineStr">
        <is>
          <t>Active</t>
        </is>
      </c>
      <c r="Q37" s="166" t="inlineStr">
        <is>
          <t>2022-07-15</t>
        </is>
      </c>
      <c r="R37" s="166" t="inlineStr">
        <is>
          <t>London</t>
        </is>
      </c>
      <c r="S37" s="166" t="inlineStr">
        <is>
          <t>MBA</t>
        </is>
      </c>
      <c r="T37" s="166" t="inlineStr">
        <is>
          <t>PIP recommended</t>
        </is>
      </c>
    </row>
    <row r="38" ht="15" customHeight="1" s="90">
      <c r="A38" s="116" t="inlineStr">
        <is>
          <t>EMP1036</t>
        </is>
      </c>
      <c r="B38" s="116" t="inlineStr">
        <is>
          <t>Brian Turner</t>
        </is>
      </c>
      <c r="C38" s="116" t="inlineStr">
        <is>
          <t>Sales</t>
        </is>
      </c>
      <c r="D38" s="116" t="inlineStr">
        <is>
          <t>Enterprise AE</t>
        </is>
      </c>
      <c r="E38" s="119" t="n">
        <v>2.7</v>
      </c>
      <c r="F38" s="118" t="n">
        <v>104000</v>
      </c>
      <c r="G38" s="118" t="n">
        <v>7500</v>
      </c>
      <c r="H38" s="118">
        <f>F38+G38</f>
        <v/>
      </c>
      <c r="I38" s="164" t="inlineStr">
        <is>
          <t>Sara CFO</t>
        </is>
      </c>
      <c r="J38" s="164" t="inlineStr">
        <is>
          <t>Non-binary</t>
        </is>
      </c>
      <c r="K38" s="117" t="n">
        <v>52</v>
      </c>
      <c r="L38" s="165" t="n">
        <v>2</v>
      </c>
      <c r="M38" s="120" t="n">
        <v>0.916</v>
      </c>
      <c r="N38" s="117" t="n">
        <v>18</v>
      </c>
      <c r="O38" s="117" t="n">
        <v>1</v>
      </c>
      <c r="P38" s="164" t="inlineStr">
        <is>
          <t>Active</t>
        </is>
      </c>
      <c r="Q38" s="164" t="inlineStr">
        <is>
          <t>2017-06-20</t>
        </is>
      </c>
      <c r="R38" s="164" t="inlineStr">
        <is>
          <t>Austin</t>
        </is>
      </c>
      <c r="S38" s="164" t="inlineStr">
        <is>
          <t>Master's</t>
        </is>
      </c>
      <c r="T38" s="164" t="inlineStr">
        <is>
          <t>PIP recommended</t>
        </is>
      </c>
    </row>
    <row r="39" ht="15" customHeight="1" s="90">
      <c r="A39" s="123" t="inlineStr">
        <is>
          <t>EMP1037</t>
        </is>
      </c>
      <c r="B39" s="123" t="inlineStr">
        <is>
          <t>Carol Torres</t>
        </is>
      </c>
      <c r="C39" s="123" t="inlineStr">
        <is>
          <t>Product</t>
        </is>
      </c>
      <c r="D39" s="123" t="inlineStr">
        <is>
          <t>VP Product</t>
        </is>
      </c>
      <c r="E39" s="126" t="n">
        <v>4.8</v>
      </c>
      <c r="F39" s="125" t="n">
        <v>90000</v>
      </c>
      <c r="G39" s="125" t="n">
        <v>11000</v>
      </c>
      <c r="H39" s="125">
        <f>F39+G39</f>
        <v/>
      </c>
      <c r="I39" s="166" t="inlineStr">
        <is>
          <t>Sara CFO</t>
        </is>
      </c>
      <c r="J39" s="166" t="inlineStr">
        <is>
          <t>Male</t>
        </is>
      </c>
      <c r="K39" s="124" t="n">
        <v>54</v>
      </c>
      <c r="L39" s="167" t="n">
        <v>4</v>
      </c>
      <c r="M39" s="127" t="n">
        <v>0.986</v>
      </c>
      <c r="N39" s="124" t="n">
        <v>46</v>
      </c>
      <c r="O39" s="124" t="n">
        <v>5</v>
      </c>
      <c r="P39" s="166" t="inlineStr">
        <is>
          <t>On Leave</t>
        </is>
      </c>
      <c r="Q39" s="166" t="inlineStr">
        <is>
          <t>2018-09-27</t>
        </is>
      </c>
      <c r="R39" s="166" t="inlineStr">
        <is>
          <t>Chicago</t>
        </is>
      </c>
      <c r="S39" s="166" t="inlineStr">
        <is>
          <t>Bachelor's</t>
        </is>
      </c>
      <c r="T39" s="166" t="inlineStr">
        <is>
          <t>High potential</t>
        </is>
      </c>
    </row>
    <row r="40" ht="15" customHeight="1" s="90">
      <c r="A40" s="116" t="inlineStr">
        <is>
          <t>EMP1038</t>
        </is>
      </c>
      <c r="B40" s="116" t="inlineStr">
        <is>
          <t>George Collins</t>
        </is>
      </c>
      <c r="C40" s="116" t="inlineStr">
        <is>
          <t>Engineering</t>
        </is>
      </c>
      <c r="D40" s="116" t="inlineStr">
        <is>
          <t>Software Engineer</t>
        </is>
      </c>
      <c r="E40" s="119" t="n">
        <v>3.5</v>
      </c>
      <c r="F40" s="118" t="n">
        <v>99000</v>
      </c>
      <c r="G40" s="118" t="n">
        <v>15000</v>
      </c>
      <c r="H40" s="118">
        <f>F40+G40</f>
        <v/>
      </c>
      <c r="I40" s="164" t="inlineStr">
        <is>
          <t>Kat VP-Prod</t>
        </is>
      </c>
      <c r="J40" s="164" t="inlineStr">
        <is>
          <t>Non-binary</t>
        </is>
      </c>
      <c r="K40" s="117" t="n">
        <v>38</v>
      </c>
      <c r="L40" s="165" t="n">
        <v>3</v>
      </c>
      <c r="M40" s="120" t="n">
        <v>0.9</v>
      </c>
      <c r="N40" s="117" t="n">
        <v>68</v>
      </c>
      <c r="O40" s="117" t="n">
        <v>3</v>
      </c>
      <c r="P40" s="164" t="inlineStr">
        <is>
          <t>Active</t>
        </is>
      </c>
      <c r="Q40" s="164" t="inlineStr">
        <is>
          <t>2022-08-04</t>
        </is>
      </c>
      <c r="R40" s="164" t="inlineStr">
        <is>
          <t>San Francisco</t>
        </is>
      </c>
      <c r="S40" s="164" t="inlineStr">
        <is>
          <t>Master's</t>
        </is>
      </c>
      <c r="T40" s="164" t="inlineStr">
        <is>
          <t>Standard performer</t>
        </is>
      </c>
    </row>
    <row r="41" ht="15" customHeight="1" s="90">
      <c r="A41" s="123" t="inlineStr">
        <is>
          <t>EMP1039</t>
        </is>
      </c>
      <c r="B41" s="123" t="inlineStr">
        <is>
          <t>Amanda Parker</t>
        </is>
      </c>
      <c r="C41" s="123" t="inlineStr">
        <is>
          <t>Finance</t>
        </is>
      </c>
      <c r="D41" s="123" t="inlineStr">
        <is>
          <t>FP&amp;A Analyst</t>
        </is>
      </c>
      <c r="E41" s="126" t="n">
        <v>1.8</v>
      </c>
      <c r="F41" s="125" t="n">
        <v>96000</v>
      </c>
      <c r="G41" s="125" t="n">
        <v>9500</v>
      </c>
      <c r="H41" s="125">
        <f>F41+G41</f>
        <v/>
      </c>
      <c r="I41" s="166" t="inlineStr">
        <is>
          <t>Mike CTO</t>
        </is>
      </c>
      <c r="J41" s="166" t="inlineStr">
        <is>
          <t>Female</t>
        </is>
      </c>
      <c r="K41" s="124" t="n">
        <v>43</v>
      </c>
      <c r="L41" s="167" t="n">
        <v>5</v>
      </c>
      <c r="M41" s="127" t="n">
        <v>0.881</v>
      </c>
      <c r="N41" s="124" t="n">
        <v>34</v>
      </c>
      <c r="O41" s="124" t="n">
        <v>0</v>
      </c>
      <c r="P41" s="166" t="inlineStr">
        <is>
          <t>Active</t>
        </is>
      </c>
      <c r="Q41" s="166" t="inlineStr">
        <is>
          <t>2021-04-11</t>
        </is>
      </c>
      <c r="R41" s="166" t="inlineStr">
        <is>
          <t>Toronto</t>
        </is>
      </c>
      <c r="S41" s="166" t="inlineStr">
        <is>
          <t>Associate's</t>
        </is>
      </c>
      <c r="T41" s="166" t="inlineStr">
        <is>
          <t>High potential</t>
        </is>
      </c>
    </row>
    <row r="42" ht="15" customHeight="1" s="90">
      <c r="A42" s="116" t="inlineStr">
        <is>
          <t>EMP1040</t>
        </is>
      </c>
      <c r="B42" s="116" t="inlineStr">
        <is>
          <t>Edward Smith</t>
        </is>
      </c>
      <c r="C42" s="116" t="inlineStr">
        <is>
          <t>Engineering</t>
        </is>
      </c>
      <c r="D42" s="116" t="inlineStr">
        <is>
          <t>DevOps Engineer</t>
        </is>
      </c>
      <c r="E42" s="119" t="n">
        <v>2.9</v>
      </c>
      <c r="F42" s="118" t="n">
        <v>98000</v>
      </c>
      <c r="G42" s="118" t="n">
        <v>16000</v>
      </c>
      <c r="H42" s="118">
        <f>F42+G42</f>
        <v/>
      </c>
      <c r="I42" s="164" t="inlineStr">
        <is>
          <t>Ben VP-CS</t>
        </is>
      </c>
      <c r="J42" s="164" t="inlineStr">
        <is>
          <t>Non-binary</t>
        </is>
      </c>
      <c r="K42" s="117" t="n">
        <v>57</v>
      </c>
      <c r="L42" s="165" t="n">
        <v>3</v>
      </c>
      <c r="M42" s="120" t="n">
        <v>0.851</v>
      </c>
      <c r="N42" s="117" t="n">
        <v>37</v>
      </c>
      <c r="O42" s="117" t="n">
        <v>4</v>
      </c>
      <c r="P42" s="164" t="inlineStr">
        <is>
          <t>Active</t>
        </is>
      </c>
      <c r="Q42" s="164" t="inlineStr">
        <is>
          <t>2017-11-08</t>
        </is>
      </c>
      <c r="R42" s="164" t="inlineStr">
        <is>
          <t>Austin</t>
        </is>
      </c>
      <c r="S42" s="164" t="inlineStr">
        <is>
          <t>Bachelor's</t>
        </is>
      </c>
      <c r="T42" s="164" t="inlineStr">
        <is>
          <t>Standard performer</t>
        </is>
      </c>
    </row>
    <row r="43" ht="15" customHeight="1" s="90">
      <c r="A43" s="123" t="inlineStr">
        <is>
          <t>EMP1041</t>
        </is>
      </c>
      <c r="B43" s="123" t="inlineStr">
        <is>
          <t>Melissa Johnson</t>
        </is>
      </c>
      <c r="C43" s="123" t="inlineStr">
        <is>
          <t>Engineering</t>
        </is>
      </c>
      <c r="D43" s="123" t="inlineStr">
        <is>
          <t>Lead Engineer</t>
        </is>
      </c>
      <c r="E43" s="126" t="n">
        <v>12</v>
      </c>
      <c r="F43" s="125" t="n">
        <v>93000</v>
      </c>
      <c r="G43" s="125" t="n">
        <v>14000</v>
      </c>
      <c r="H43" s="125">
        <f>F43+G43</f>
        <v/>
      </c>
      <c r="I43" s="166" t="inlineStr">
        <is>
          <t>Amy VP-Eng</t>
        </is>
      </c>
      <c r="J43" s="166" t="inlineStr">
        <is>
          <t>Non-binary</t>
        </is>
      </c>
      <c r="K43" s="124" t="n">
        <v>50</v>
      </c>
      <c r="L43" s="167" t="n">
        <v>3</v>
      </c>
      <c r="M43" s="127" t="n">
        <v>0.953</v>
      </c>
      <c r="N43" s="124" t="n">
        <v>34</v>
      </c>
      <c r="O43" s="124" t="n">
        <v>2</v>
      </c>
      <c r="P43" s="166" t="inlineStr">
        <is>
          <t>Active</t>
        </is>
      </c>
      <c r="Q43" s="166" t="inlineStr">
        <is>
          <t>2020-03-18</t>
        </is>
      </c>
      <c r="R43" s="166" t="inlineStr">
        <is>
          <t>Remote</t>
        </is>
      </c>
      <c r="S43" s="166" t="inlineStr">
        <is>
          <t>Bachelor's</t>
        </is>
      </c>
      <c r="T43" s="166" t="inlineStr">
        <is>
          <t>Standard performer</t>
        </is>
      </c>
    </row>
    <row r="44" ht="15" customHeight="1" s="90">
      <c r="A44" s="116" t="inlineStr">
        <is>
          <t>EMP1042</t>
        </is>
      </c>
      <c r="B44" s="116" t="inlineStr">
        <is>
          <t>Ronald Williams</t>
        </is>
      </c>
      <c r="C44" s="116" t="inlineStr">
        <is>
          <t>Engineering</t>
        </is>
      </c>
      <c r="D44" s="116" t="inlineStr">
        <is>
          <t>Engineering Manager</t>
        </is>
      </c>
      <c r="E44" s="119" t="n">
        <v>4.3</v>
      </c>
      <c r="F44" s="118" t="n">
        <v>81000</v>
      </c>
      <c r="G44" s="118" t="n">
        <v>12000</v>
      </c>
      <c r="H44" s="118">
        <f>F44+G44</f>
        <v/>
      </c>
      <c r="I44" s="164" t="inlineStr">
        <is>
          <t>Rex VP-Mktg</t>
        </is>
      </c>
      <c r="J44" s="164" t="inlineStr">
        <is>
          <t>Male</t>
        </is>
      </c>
      <c r="K44" s="117" t="n">
        <v>36</v>
      </c>
      <c r="L44" s="165" t="n">
        <v>3</v>
      </c>
      <c r="M44" s="120" t="n">
        <v>0.867</v>
      </c>
      <c r="N44" s="117" t="n">
        <v>52</v>
      </c>
      <c r="O44" s="117" t="n">
        <v>5</v>
      </c>
      <c r="P44" s="164" t="inlineStr">
        <is>
          <t>Active</t>
        </is>
      </c>
      <c r="Q44" s="164" t="inlineStr">
        <is>
          <t>2020-06-14</t>
        </is>
      </c>
      <c r="R44" s="164" t="inlineStr">
        <is>
          <t>New York</t>
        </is>
      </c>
      <c r="S44" s="164" t="inlineStr">
        <is>
          <t>Associate's</t>
        </is>
      </c>
      <c r="T44" s="164" t="inlineStr">
        <is>
          <t>Standard performer</t>
        </is>
      </c>
    </row>
    <row r="45" ht="15" customHeight="1" s="90">
      <c r="A45" s="123" t="inlineStr">
        <is>
          <t>EMP1043</t>
        </is>
      </c>
      <c r="B45" s="123" t="inlineStr">
        <is>
          <t>Deborah Brown</t>
        </is>
      </c>
      <c r="C45" s="123" t="inlineStr">
        <is>
          <t>Marketing</t>
        </is>
      </c>
      <c r="D45" s="123" t="inlineStr">
        <is>
          <t>SEO Analyst</t>
        </is>
      </c>
      <c r="E45" s="126" t="n">
        <v>4.5</v>
      </c>
      <c r="F45" s="125" t="n">
        <v>61000</v>
      </c>
      <c r="G45" s="125" t="n">
        <v>4000</v>
      </c>
      <c r="H45" s="125">
        <f>F45+G45</f>
        <v/>
      </c>
      <c r="I45" s="166" t="inlineStr">
        <is>
          <t>Tom VP-Sales</t>
        </is>
      </c>
      <c r="J45" s="166" t="inlineStr">
        <is>
          <t>Non-binary</t>
        </is>
      </c>
      <c r="K45" s="124" t="n">
        <v>30</v>
      </c>
      <c r="L45" s="167" t="n">
        <v>3</v>
      </c>
      <c r="M45" s="127" t="n">
        <v>0.952</v>
      </c>
      <c r="N45" s="124" t="n">
        <v>8</v>
      </c>
      <c r="O45" s="124" t="n">
        <v>3</v>
      </c>
      <c r="P45" s="166" t="inlineStr">
        <is>
          <t>Active</t>
        </is>
      </c>
      <c r="Q45" s="166" t="inlineStr">
        <is>
          <t>2020-11-06</t>
        </is>
      </c>
      <c r="R45" s="166" t="inlineStr">
        <is>
          <t>London</t>
        </is>
      </c>
      <c r="S45" s="166" t="inlineStr">
        <is>
          <t>Associate's</t>
        </is>
      </c>
      <c r="T45" s="166" t="inlineStr">
        <is>
          <t>Standard performer</t>
        </is>
      </c>
    </row>
    <row r="46" ht="15" customHeight="1" s="90">
      <c r="A46" s="116" t="inlineStr">
        <is>
          <t>EMP1044</t>
        </is>
      </c>
      <c r="B46" s="116" t="inlineStr">
        <is>
          <t>Timothy Jones</t>
        </is>
      </c>
      <c r="C46" s="116" t="inlineStr">
        <is>
          <t>R&amp;D</t>
        </is>
      </c>
      <c r="D46" s="116" t="inlineStr">
        <is>
          <t>Research Engineer</t>
        </is>
      </c>
      <c r="E46" s="119" t="n">
        <v>2</v>
      </c>
      <c r="F46" s="118" t="n">
        <v>118000</v>
      </c>
      <c r="G46" s="118" t="n">
        <v>14500</v>
      </c>
      <c r="H46" s="118">
        <f>F46+G46</f>
        <v/>
      </c>
      <c r="I46" s="164" t="inlineStr">
        <is>
          <t>Ben VP-CS</t>
        </is>
      </c>
      <c r="J46" s="164" t="inlineStr">
        <is>
          <t>Female</t>
        </is>
      </c>
      <c r="K46" s="117" t="n">
        <v>48</v>
      </c>
      <c r="L46" s="165" t="n">
        <v>3</v>
      </c>
      <c r="M46" s="120" t="n">
        <v>0.869</v>
      </c>
      <c r="N46" s="117" t="n">
        <v>15</v>
      </c>
      <c r="O46" s="117" t="n">
        <v>2</v>
      </c>
      <c r="P46" s="164" t="inlineStr">
        <is>
          <t>Active</t>
        </is>
      </c>
      <c r="Q46" s="164" t="inlineStr">
        <is>
          <t>2020-11-29</t>
        </is>
      </c>
      <c r="R46" s="164" t="inlineStr">
        <is>
          <t>Boston</t>
        </is>
      </c>
      <c r="S46" s="164" t="inlineStr">
        <is>
          <t>Bachelor's</t>
        </is>
      </c>
      <c r="T46" s="164" t="inlineStr">
        <is>
          <t>Standard performer</t>
        </is>
      </c>
    </row>
    <row r="47" ht="15" customHeight="1" s="90">
      <c r="A47" s="123" t="inlineStr">
        <is>
          <t>EMP1045</t>
        </is>
      </c>
      <c r="B47" s="123" t="inlineStr">
        <is>
          <t>Stephanie Garcia</t>
        </is>
      </c>
      <c r="C47" s="123" t="inlineStr">
        <is>
          <t>Finance</t>
        </is>
      </c>
      <c r="D47" s="123" t="inlineStr">
        <is>
          <t>Treasurer</t>
        </is>
      </c>
      <c r="E47" s="126" t="n">
        <v>1.4</v>
      </c>
      <c r="F47" s="125" t="n">
        <v>114000</v>
      </c>
      <c r="G47" s="125" t="n">
        <v>12000</v>
      </c>
      <c r="H47" s="125">
        <f>F47+G47</f>
        <v/>
      </c>
      <c r="I47" s="166" t="inlineStr">
        <is>
          <t>Kat VP-Prod</t>
        </is>
      </c>
      <c r="J47" s="166" t="inlineStr">
        <is>
          <t>Female</t>
        </is>
      </c>
      <c r="K47" s="124" t="n">
        <v>23</v>
      </c>
      <c r="L47" s="167" t="n">
        <v>4</v>
      </c>
      <c r="M47" s="127" t="n">
        <v>0.946</v>
      </c>
      <c r="N47" s="124" t="n">
        <v>71</v>
      </c>
      <c r="O47" s="124" t="n">
        <v>3</v>
      </c>
      <c r="P47" s="166" t="inlineStr">
        <is>
          <t>Active</t>
        </is>
      </c>
      <c r="Q47" s="166" t="inlineStr">
        <is>
          <t>2022-05-27</t>
        </is>
      </c>
      <c r="R47" s="166" t="inlineStr">
        <is>
          <t>Remote</t>
        </is>
      </c>
      <c r="S47" s="166" t="inlineStr">
        <is>
          <t>PhD</t>
        </is>
      </c>
      <c r="T47" s="166" t="inlineStr">
        <is>
          <t>High potential</t>
        </is>
      </c>
    </row>
    <row r="48" ht="15" customHeight="1" s="90">
      <c r="A48" s="116" t="inlineStr">
        <is>
          <t>EMP1046</t>
        </is>
      </c>
      <c r="B48" s="116" t="inlineStr">
        <is>
          <t>Jason Miller</t>
        </is>
      </c>
      <c r="C48" s="116" t="inlineStr">
        <is>
          <t>Marketing</t>
        </is>
      </c>
      <c r="D48" s="116" t="inlineStr">
        <is>
          <t>Marketing Specialist</t>
        </is>
      </c>
      <c r="E48" s="119" t="n">
        <v>1.7</v>
      </c>
      <c r="F48" s="118" t="n">
        <v>76000</v>
      </c>
      <c r="G48" s="118" t="n">
        <v>12000</v>
      </c>
      <c r="H48" s="118">
        <f>F48+G48</f>
        <v/>
      </c>
      <c r="I48" s="164" t="inlineStr">
        <is>
          <t>Paul COO</t>
        </is>
      </c>
      <c r="J48" s="164" t="inlineStr">
        <is>
          <t>Non-binary</t>
        </is>
      </c>
      <c r="K48" s="117" t="n">
        <v>36</v>
      </c>
      <c r="L48" s="165" t="n">
        <v>2</v>
      </c>
      <c r="M48" s="120" t="n">
        <v>0.965</v>
      </c>
      <c r="N48" s="117" t="n">
        <v>14</v>
      </c>
      <c r="O48" s="117" t="n">
        <v>1</v>
      </c>
      <c r="P48" s="164" t="inlineStr">
        <is>
          <t>Active</t>
        </is>
      </c>
      <c r="Q48" s="164" t="inlineStr">
        <is>
          <t>2017-01-26</t>
        </is>
      </c>
      <c r="R48" s="164" t="inlineStr">
        <is>
          <t>New York</t>
        </is>
      </c>
      <c r="S48" s="164" t="inlineStr">
        <is>
          <t>Associate's</t>
        </is>
      </c>
      <c r="T48" s="164" t="inlineStr">
        <is>
          <t>PIP recommended</t>
        </is>
      </c>
    </row>
    <row r="49" ht="15" customHeight="1" s="90">
      <c r="A49" s="123" t="inlineStr">
        <is>
          <t>EMP1047</t>
        </is>
      </c>
      <c r="B49" s="123" t="inlineStr">
        <is>
          <t>Rebecca Davis</t>
        </is>
      </c>
      <c r="C49" s="123" t="inlineStr">
        <is>
          <t>Engineering</t>
        </is>
      </c>
      <c r="D49" s="123" t="inlineStr">
        <is>
          <t>DevOps Engineer</t>
        </is>
      </c>
      <c r="E49" s="126" t="n">
        <v>4.1</v>
      </c>
      <c r="F49" s="125" t="n">
        <v>92000</v>
      </c>
      <c r="G49" s="125" t="n">
        <v>13000</v>
      </c>
      <c r="H49" s="125">
        <f>F49+G49</f>
        <v/>
      </c>
      <c r="I49" s="166" t="inlineStr">
        <is>
          <t>Mike CTO</t>
        </is>
      </c>
      <c r="J49" s="166" t="inlineStr">
        <is>
          <t>Non-binary</t>
        </is>
      </c>
      <c r="K49" s="124" t="n">
        <v>58</v>
      </c>
      <c r="L49" s="167" t="n">
        <v>3</v>
      </c>
      <c r="M49" s="127" t="n">
        <v>0.951</v>
      </c>
      <c r="N49" s="124" t="n">
        <v>74</v>
      </c>
      <c r="O49" s="124" t="n">
        <v>4</v>
      </c>
      <c r="P49" s="166" t="inlineStr">
        <is>
          <t>Active</t>
        </is>
      </c>
      <c r="Q49" s="166" t="inlineStr">
        <is>
          <t>2013-08-07</t>
        </is>
      </c>
      <c r="R49" s="166" t="inlineStr">
        <is>
          <t>Chicago</t>
        </is>
      </c>
      <c r="S49" s="166" t="inlineStr">
        <is>
          <t>MBA</t>
        </is>
      </c>
      <c r="T49" s="166" t="inlineStr">
        <is>
          <t>Standard performer</t>
        </is>
      </c>
    </row>
    <row r="50" ht="15" customHeight="1" s="90">
      <c r="A50" s="116" t="inlineStr">
        <is>
          <t>EMP1048</t>
        </is>
      </c>
      <c r="B50" s="116" t="inlineStr">
        <is>
          <t>Jeffrey Wilson</t>
        </is>
      </c>
      <c r="C50" s="116" t="inlineStr">
        <is>
          <t>Engineering</t>
        </is>
      </c>
      <c r="D50" s="116" t="inlineStr">
        <is>
          <t>QA Engineer</t>
        </is>
      </c>
      <c r="E50" s="119" t="n">
        <v>10.8</v>
      </c>
      <c r="F50" s="118" t="n">
        <v>118000</v>
      </c>
      <c r="G50" s="118" t="n">
        <v>21500</v>
      </c>
      <c r="H50" s="118">
        <f>F50+G50</f>
        <v/>
      </c>
      <c r="I50" s="164" t="inlineStr">
        <is>
          <t>Tom VP-Sales</t>
        </is>
      </c>
      <c r="J50" s="164" t="inlineStr">
        <is>
          <t>Female</t>
        </is>
      </c>
      <c r="K50" s="117" t="n">
        <v>24</v>
      </c>
      <c r="L50" s="165" t="n">
        <v>3</v>
      </c>
      <c r="M50" s="120" t="n">
        <v>0.953</v>
      </c>
      <c r="N50" s="117" t="n">
        <v>78</v>
      </c>
      <c r="O50" s="117" t="n">
        <v>2</v>
      </c>
      <c r="P50" s="164" t="inlineStr">
        <is>
          <t>Active</t>
        </is>
      </c>
      <c r="Q50" s="164" t="inlineStr">
        <is>
          <t>2015-07-02</t>
        </is>
      </c>
      <c r="R50" s="164" t="inlineStr">
        <is>
          <t>Austin</t>
        </is>
      </c>
      <c r="S50" s="164" t="inlineStr">
        <is>
          <t>Bachelor's</t>
        </is>
      </c>
      <c r="T50" s="164" t="inlineStr">
        <is>
          <t>Standard performer</t>
        </is>
      </c>
    </row>
    <row r="51" ht="15" customHeight="1" s="90">
      <c r="A51" s="123" t="inlineStr">
        <is>
          <t>EMP1049</t>
        </is>
      </c>
      <c r="B51" s="123" t="inlineStr">
        <is>
          <t>Laura Taylor</t>
        </is>
      </c>
      <c r="C51" s="123" t="inlineStr">
        <is>
          <t>Product</t>
        </is>
      </c>
      <c r="D51" s="123" t="inlineStr">
        <is>
          <t>VP Product</t>
        </is>
      </c>
      <c r="E51" s="126" t="n">
        <v>2.9</v>
      </c>
      <c r="F51" s="125" t="n">
        <v>96000</v>
      </c>
      <c r="G51" s="125" t="n">
        <v>15500</v>
      </c>
      <c r="H51" s="125">
        <f>F51+G51</f>
        <v/>
      </c>
      <c r="I51" s="166" t="inlineStr">
        <is>
          <t>Tom VP-Sales</t>
        </is>
      </c>
      <c r="J51" s="166" t="inlineStr">
        <is>
          <t>Female</t>
        </is>
      </c>
      <c r="K51" s="124" t="n">
        <v>57</v>
      </c>
      <c r="L51" s="167" t="n">
        <v>5</v>
      </c>
      <c r="M51" s="127" t="n">
        <v>0.969</v>
      </c>
      <c r="N51" s="124" t="n">
        <v>58</v>
      </c>
      <c r="O51" s="124" t="n">
        <v>5</v>
      </c>
      <c r="P51" s="166" t="inlineStr">
        <is>
          <t>Active</t>
        </is>
      </c>
      <c r="Q51" s="166" t="inlineStr">
        <is>
          <t>2015-10-12</t>
        </is>
      </c>
      <c r="R51" s="166" t="inlineStr">
        <is>
          <t>Chicago</t>
        </is>
      </c>
      <c r="S51" s="166" t="inlineStr">
        <is>
          <t>Bachelor's</t>
        </is>
      </c>
      <c r="T51" s="166" t="inlineStr">
        <is>
          <t>High potential</t>
        </is>
      </c>
    </row>
    <row r="52" ht="15" customHeight="1" s="90">
      <c r="A52" s="116" t="inlineStr">
        <is>
          <t>EMP1050</t>
        </is>
      </c>
      <c r="B52" s="116" t="inlineStr">
        <is>
          <t>James Anderson</t>
        </is>
      </c>
      <c r="C52" s="116" t="inlineStr">
        <is>
          <t>Finance</t>
        </is>
      </c>
      <c r="D52" s="116" t="inlineStr">
        <is>
          <t>Financial Analyst</t>
        </is>
      </c>
      <c r="E52" s="119" t="n">
        <v>3.1</v>
      </c>
      <c r="F52" s="118" t="n">
        <v>78000</v>
      </c>
      <c r="G52" s="118" t="n">
        <v>6000</v>
      </c>
      <c r="H52" s="118">
        <f>F52+G52</f>
        <v/>
      </c>
      <c r="I52" s="164" t="inlineStr">
        <is>
          <t>Amy VP-Eng</t>
        </is>
      </c>
      <c r="J52" s="164" t="inlineStr">
        <is>
          <t>Non-binary</t>
        </is>
      </c>
      <c r="K52" s="117" t="n">
        <v>42</v>
      </c>
      <c r="L52" s="165" t="n">
        <v>3</v>
      </c>
      <c r="M52" s="120" t="n">
        <v>0.888</v>
      </c>
      <c r="N52" s="117" t="n">
        <v>54</v>
      </c>
      <c r="O52" s="117" t="n">
        <v>3</v>
      </c>
      <c r="P52" s="164" t="inlineStr">
        <is>
          <t>Active</t>
        </is>
      </c>
      <c r="Q52" s="164" t="inlineStr">
        <is>
          <t>2022-01-21</t>
        </is>
      </c>
      <c r="R52" s="164" t="inlineStr">
        <is>
          <t>Remote</t>
        </is>
      </c>
      <c r="S52" s="164" t="inlineStr">
        <is>
          <t>Bachelor's</t>
        </is>
      </c>
      <c r="T52" s="164" t="inlineStr">
        <is>
          <t>Standard performer</t>
        </is>
      </c>
    </row>
    <row r="53" ht="15" customHeight="1" s="90">
      <c r="A53" s="123" t="inlineStr">
        <is>
          <t>EMP1051</t>
        </is>
      </c>
      <c r="B53" s="123" t="inlineStr">
        <is>
          <t>Mary Thomas</t>
        </is>
      </c>
      <c r="C53" s="123" t="inlineStr">
        <is>
          <t>Finance</t>
        </is>
      </c>
      <c r="D53" s="123" t="inlineStr">
        <is>
          <t>Finance Manager</t>
        </is>
      </c>
      <c r="E53" s="126" t="n">
        <v>2.9</v>
      </c>
      <c r="F53" s="125" t="n">
        <v>110000</v>
      </c>
      <c r="G53" s="125" t="n">
        <v>14000</v>
      </c>
      <c r="H53" s="125">
        <f>F53+G53</f>
        <v/>
      </c>
      <c r="I53" s="166" t="inlineStr">
        <is>
          <t>Amy VP-Eng</t>
        </is>
      </c>
      <c r="J53" s="166" t="inlineStr">
        <is>
          <t>Female</t>
        </is>
      </c>
      <c r="K53" s="124" t="n">
        <v>23</v>
      </c>
      <c r="L53" s="167" t="n">
        <v>2</v>
      </c>
      <c r="M53" s="127" t="n">
        <v>0.852</v>
      </c>
      <c r="N53" s="124" t="n">
        <v>34</v>
      </c>
      <c r="O53" s="124" t="n">
        <v>2</v>
      </c>
      <c r="P53" s="166" t="inlineStr">
        <is>
          <t>Active</t>
        </is>
      </c>
      <c r="Q53" s="166" t="inlineStr">
        <is>
          <t>2020-03-24</t>
        </is>
      </c>
      <c r="R53" s="166" t="inlineStr">
        <is>
          <t>San Francisco</t>
        </is>
      </c>
      <c r="S53" s="166" t="inlineStr">
        <is>
          <t>Bachelor's</t>
        </is>
      </c>
      <c r="T53" s="166" t="inlineStr">
        <is>
          <t>PIP recommended</t>
        </is>
      </c>
    </row>
    <row r="54" ht="15" customHeight="1" s="90">
      <c r="A54" s="116" t="inlineStr">
        <is>
          <t>EMP1052</t>
        </is>
      </c>
      <c r="B54" s="116" t="inlineStr">
        <is>
          <t>Robert Jackson</t>
        </is>
      </c>
      <c r="C54" s="116" t="inlineStr">
        <is>
          <t>HR</t>
        </is>
      </c>
      <c r="D54" s="116" t="inlineStr">
        <is>
          <t>Recruiter</t>
        </is>
      </c>
      <c r="E54" s="119" t="n">
        <v>2.3</v>
      </c>
      <c r="F54" s="118" t="n">
        <v>55000</v>
      </c>
      <c r="G54" s="118" t="n">
        <v>8000</v>
      </c>
      <c r="H54" s="118">
        <f>F54+G54</f>
        <v/>
      </c>
      <c r="I54" s="164" t="inlineStr">
        <is>
          <t>Paul COO</t>
        </is>
      </c>
      <c r="J54" s="164" t="inlineStr">
        <is>
          <t>Male</t>
        </is>
      </c>
      <c r="K54" s="117" t="n">
        <v>23</v>
      </c>
      <c r="L54" s="165" t="n">
        <v>4</v>
      </c>
      <c r="M54" s="120" t="n">
        <v>0.885</v>
      </c>
      <c r="N54" s="117" t="n">
        <v>75</v>
      </c>
      <c r="O54" s="117" t="n">
        <v>1</v>
      </c>
      <c r="P54" s="164" t="inlineStr">
        <is>
          <t>Active</t>
        </is>
      </c>
      <c r="Q54" s="164" t="inlineStr">
        <is>
          <t>2016-09-25</t>
        </is>
      </c>
      <c r="R54" s="164" t="inlineStr">
        <is>
          <t>Chicago</t>
        </is>
      </c>
      <c r="S54" s="164" t="inlineStr">
        <is>
          <t>Master's</t>
        </is>
      </c>
      <c r="T54" s="164" t="inlineStr">
        <is>
          <t>High potential</t>
        </is>
      </c>
    </row>
    <row r="55" ht="15" customHeight="1" s="90">
      <c r="A55" s="123" t="inlineStr">
        <is>
          <t>EMP1053</t>
        </is>
      </c>
      <c r="B55" s="123" t="inlineStr">
        <is>
          <t>Patricia White</t>
        </is>
      </c>
      <c r="C55" s="123" t="inlineStr">
        <is>
          <t>Sales</t>
        </is>
      </c>
      <c r="D55" s="123" t="inlineStr">
        <is>
          <t>Sales Rep</t>
        </is>
      </c>
      <c r="E55" s="126" t="n">
        <v>4.6</v>
      </c>
      <c r="F55" s="125" t="n">
        <v>74000</v>
      </c>
      <c r="G55" s="125" t="n">
        <v>5000</v>
      </c>
      <c r="H55" s="125">
        <f>F55+G55</f>
        <v/>
      </c>
      <c r="I55" s="166" t="inlineStr">
        <is>
          <t>Rex VP-Mktg</t>
        </is>
      </c>
      <c r="J55" s="166" t="inlineStr">
        <is>
          <t>Female</t>
        </is>
      </c>
      <c r="K55" s="124" t="n">
        <v>27</v>
      </c>
      <c r="L55" s="167" t="n">
        <v>4</v>
      </c>
      <c r="M55" s="127" t="n">
        <v>0.823</v>
      </c>
      <c r="N55" s="124" t="n">
        <v>36</v>
      </c>
      <c r="O55" s="124" t="n">
        <v>5</v>
      </c>
      <c r="P55" s="166" t="inlineStr">
        <is>
          <t>Active</t>
        </is>
      </c>
      <c r="Q55" s="166" t="inlineStr">
        <is>
          <t>2016-12-13</t>
        </is>
      </c>
      <c r="R55" s="166" t="inlineStr">
        <is>
          <t>London</t>
        </is>
      </c>
      <c r="S55" s="166" t="inlineStr">
        <is>
          <t>Master's</t>
        </is>
      </c>
      <c r="T55" s="166" t="inlineStr">
        <is>
          <t>High potential</t>
        </is>
      </c>
    </row>
    <row r="56" ht="15" customHeight="1" s="90">
      <c r="A56" s="116" t="inlineStr">
        <is>
          <t>EMP1054</t>
        </is>
      </c>
      <c r="B56" s="116" t="inlineStr">
        <is>
          <t>John Harris</t>
        </is>
      </c>
      <c r="C56" s="116" t="inlineStr">
        <is>
          <t>Sales</t>
        </is>
      </c>
      <c r="D56" s="116" t="inlineStr">
        <is>
          <t>Regional Director</t>
        </is>
      </c>
      <c r="E56" s="119" t="n">
        <v>10.6</v>
      </c>
      <c r="F56" s="118" t="n">
        <v>101000</v>
      </c>
      <c r="G56" s="118" t="n">
        <v>14000</v>
      </c>
      <c r="H56" s="118">
        <f>F56+G56</f>
        <v/>
      </c>
      <c r="I56" s="164" t="inlineStr">
        <is>
          <t>Rex VP-Mktg</t>
        </is>
      </c>
      <c r="J56" s="164" t="inlineStr">
        <is>
          <t>Female</t>
        </is>
      </c>
      <c r="K56" s="117" t="n">
        <v>50</v>
      </c>
      <c r="L56" s="165" t="n">
        <v>2</v>
      </c>
      <c r="M56" s="120" t="n">
        <v>0.83</v>
      </c>
      <c r="N56" s="117" t="n">
        <v>69</v>
      </c>
      <c r="O56" s="117" t="n">
        <v>5</v>
      </c>
      <c r="P56" s="164" t="inlineStr">
        <is>
          <t>Active</t>
        </is>
      </c>
      <c r="Q56" s="164" t="inlineStr">
        <is>
          <t>2018-09-22</t>
        </is>
      </c>
      <c r="R56" s="164" t="inlineStr">
        <is>
          <t>New York</t>
        </is>
      </c>
      <c r="S56" s="164" t="inlineStr">
        <is>
          <t>Bachelor's</t>
        </is>
      </c>
      <c r="T56" s="164" t="inlineStr">
        <is>
          <t>PIP recommended</t>
        </is>
      </c>
    </row>
    <row r="57" ht="15" customHeight="1" s="90">
      <c r="A57" s="123" t="inlineStr">
        <is>
          <t>EMP1055</t>
        </is>
      </c>
      <c r="B57" s="123" t="inlineStr">
        <is>
          <t>Jennifer Martin</t>
        </is>
      </c>
      <c r="C57" s="123" t="inlineStr">
        <is>
          <t>Operations</t>
        </is>
      </c>
      <c r="D57" s="123" t="inlineStr">
        <is>
          <t>Process Analyst</t>
        </is>
      </c>
      <c r="E57" s="126" t="n">
        <v>3.9</v>
      </c>
      <c r="F57" s="125" t="n">
        <v>95000</v>
      </c>
      <c r="G57" s="125" t="n">
        <v>8500</v>
      </c>
      <c r="H57" s="125">
        <f>F57+G57</f>
        <v/>
      </c>
      <c r="I57" s="166" t="inlineStr">
        <is>
          <t>Amy VP-Eng</t>
        </is>
      </c>
      <c r="J57" s="166" t="inlineStr">
        <is>
          <t>Non-binary</t>
        </is>
      </c>
      <c r="K57" s="124" t="n">
        <v>41</v>
      </c>
      <c r="L57" s="167" t="n">
        <v>2</v>
      </c>
      <c r="M57" s="127" t="n">
        <v>0.991</v>
      </c>
      <c r="N57" s="124" t="n">
        <v>64</v>
      </c>
      <c r="O57" s="124" t="n">
        <v>5</v>
      </c>
      <c r="P57" s="166" t="inlineStr">
        <is>
          <t>Active</t>
        </is>
      </c>
      <c r="Q57" s="166" t="inlineStr">
        <is>
          <t>2022-12-27</t>
        </is>
      </c>
      <c r="R57" s="166" t="inlineStr">
        <is>
          <t>Austin</t>
        </is>
      </c>
      <c r="S57" s="166" t="inlineStr">
        <is>
          <t>Bachelor's</t>
        </is>
      </c>
      <c r="T57" s="166" t="inlineStr">
        <is>
          <t>PIP recommended</t>
        </is>
      </c>
    </row>
    <row r="58" ht="15" customHeight="1" s="90">
      <c r="A58" s="116" t="inlineStr">
        <is>
          <t>EMP1056</t>
        </is>
      </c>
      <c r="B58" s="116" t="inlineStr">
        <is>
          <t>Michael Thompson</t>
        </is>
      </c>
      <c r="C58" s="116" t="inlineStr">
        <is>
          <t>Sales</t>
        </is>
      </c>
      <c r="D58" s="116" t="inlineStr">
        <is>
          <t>Sales Manager</t>
        </is>
      </c>
      <c r="E58" s="119" t="n">
        <v>10.1</v>
      </c>
      <c r="F58" s="118" t="n">
        <v>84000</v>
      </c>
      <c r="G58" s="118" t="n">
        <v>8500</v>
      </c>
      <c r="H58" s="118">
        <f>F58+G58</f>
        <v/>
      </c>
      <c r="I58" s="164" t="inlineStr">
        <is>
          <t>Paul COO</t>
        </is>
      </c>
      <c r="J58" s="164" t="inlineStr">
        <is>
          <t>Male</t>
        </is>
      </c>
      <c r="K58" s="117" t="n">
        <v>52</v>
      </c>
      <c r="L58" s="165" t="n">
        <v>3</v>
      </c>
      <c r="M58" s="120" t="n">
        <v>0.992</v>
      </c>
      <c r="N58" s="117" t="n">
        <v>63</v>
      </c>
      <c r="O58" s="117" t="n">
        <v>1</v>
      </c>
      <c r="P58" s="164" t="inlineStr">
        <is>
          <t>Active</t>
        </is>
      </c>
      <c r="Q58" s="164" t="inlineStr">
        <is>
          <t>2016-09-14</t>
        </is>
      </c>
      <c r="R58" s="164" t="inlineStr">
        <is>
          <t>Toronto</t>
        </is>
      </c>
      <c r="S58" s="164" t="inlineStr">
        <is>
          <t>Associate's</t>
        </is>
      </c>
      <c r="T58" s="164" t="inlineStr">
        <is>
          <t>Standard performer</t>
        </is>
      </c>
    </row>
    <row r="59" ht="15" customHeight="1" s="90">
      <c r="A59" s="123" t="inlineStr">
        <is>
          <t>EMP1057</t>
        </is>
      </c>
      <c r="B59" s="123" t="inlineStr">
        <is>
          <t>Linda Young</t>
        </is>
      </c>
      <c r="C59" s="123" t="inlineStr">
        <is>
          <t>Customer Success</t>
        </is>
      </c>
      <c r="D59" s="123" t="inlineStr">
        <is>
          <t>CS Director</t>
        </is>
      </c>
      <c r="E59" s="126" t="n">
        <v>1.1</v>
      </c>
      <c r="F59" s="125" t="n">
        <v>86000</v>
      </c>
      <c r="G59" s="125" t="n">
        <v>16500</v>
      </c>
      <c r="H59" s="125">
        <f>F59+G59</f>
        <v/>
      </c>
      <c r="I59" s="166" t="inlineStr">
        <is>
          <t>Ben VP-CS</t>
        </is>
      </c>
      <c r="J59" s="166" t="inlineStr">
        <is>
          <t>Male</t>
        </is>
      </c>
      <c r="K59" s="124" t="n">
        <v>48</v>
      </c>
      <c r="L59" s="167" t="n">
        <v>3</v>
      </c>
      <c r="M59" s="127" t="n">
        <v>0.841</v>
      </c>
      <c r="N59" s="124" t="n">
        <v>22</v>
      </c>
      <c r="O59" s="124" t="n">
        <v>0</v>
      </c>
      <c r="P59" s="166" t="inlineStr">
        <is>
          <t>Active</t>
        </is>
      </c>
      <c r="Q59" s="166" t="inlineStr">
        <is>
          <t>2013-05-21</t>
        </is>
      </c>
      <c r="R59" s="166" t="inlineStr">
        <is>
          <t>Toronto</t>
        </is>
      </c>
      <c r="S59" s="166" t="inlineStr">
        <is>
          <t>PhD</t>
        </is>
      </c>
      <c r="T59" s="166" t="inlineStr">
        <is>
          <t>Standard performer</t>
        </is>
      </c>
    </row>
    <row r="60" ht="15" customHeight="1" s="90">
      <c r="A60" s="116" t="inlineStr">
        <is>
          <t>EMP1058</t>
        </is>
      </c>
      <c r="B60" s="116" t="inlineStr">
        <is>
          <t>David Lee</t>
        </is>
      </c>
      <c r="C60" s="116" t="inlineStr">
        <is>
          <t>Customer Success</t>
        </is>
      </c>
      <c r="D60" s="116" t="inlineStr">
        <is>
          <t>Onboarding Lead</t>
        </is>
      </c>
      <c r="E60" s="119" t="n">
        <v>5.5</v>
      </c>
      <c r="F60" s="118" t="n">
        <v>73000</v>
      </c>
      <c r="G60" s="118" t="n">
        <v>4000</v>
      </c>
      <c r="H60" s="118">
        <f>F60+G60</f>
        <v/>
      </c>
      <c r="I60" s="164" t="inlineStr">
        <is>
          <t>Tom VP-Sales</t>
        </is>
      </c>
      <c r="J60" s="164" t="inlineStr">
        <is>
          <t>Non-binary</t>
        </is>
      </c>
      <c r="K60" s="117" t="n">
        <v>34</v>
      </c>
      <c r="L60" s="165" t="n">
        <v>3</v>
      </c>
      <c r="M60" s="120" t="n">
        <v>0.899</v>
      </c>
      <c r="N60" s="117" t="n">
        <v>80</v>
      </c>
      <c r="O60" s="117" t="n">
        <v>1</v>
      </c>
      <c r="P60" s="164" t="inlineStr">
        <is>
          <t>Active</t>
        </is>
      </c>
      <c r="Q60" s="164" t="inlineStr">
        <is>
          <t>2013-09-07</t>
        </is>
      </c>
      <c r="R60" s="164" t="inlineStr">
        <is>
          <t>Remote</t>
        </is>
      </c>
      <c r="S60" s="164" t="inlineStr">
        <is>
          <t>Master's</t>
        </is>
      </c>
      <c r="T60" s="164" t="inlineStr">
        <is>
          <t>Standard performer</t>
        </is>
      </c>
    </row>
    <row r="61" ht="15" customHeight="1" s="90">
      <c r="A61" s="123" t="inlineStr">
        <is>
          <t>EMP1059</t>
        </is>
      </c>
      <c r="B61" s="123" t="inlineStr">
        <is>
          <t>Barbara Walker</t>
        </is>
      </c>
      <c r="C61" s="123" t="inlineStr">
        <is>
          <t>Engineering</t>
        </is>
      </c>
      <c r="D61" s="123" t="inlineStr">
        <is>
          <t>Senior Engineer</t>
        </is>
      </c>
      <c r="E61" s="126" t="n">
        <v>8.199999999999999</v>
      </c>
      <c r="F61" s="125" t="n">
        <v>101000</v>
      </c>
      <c r="G61" s="125" t="n">
        <v>13000</v>
      </c>
      <c r="H61" s="125">
        <f>F61+G61</f>
        <v/>
      </c>
      <c r="I61" s="166" t="inlineStr">
        <is>
          <t>Sara CFO</t>
        </is>
      </c>
      <c r="J61" s="166" t="inlineStr">
        <is>
          <t>Non-binary</t>
        </is>
      </c>
      <c r="K61" s="124" t="n">
        <v>28</v>
      </c>
      <c r="L61" s="167" t="n">
        <v>4</v>
      </c>
      <c r="M61" s="127" t="n">
        <v>0.987</v>
      </c>
      <c r="N61" s="124" t="n">
        <v>79</v>
      </c>
      <c r="O61" s="124" t="n">
        <v>3</v>
      </c>
      <c r="P61" s="166" t="inlineStr">
        <is>
          <t>Active</t>
        </is>
      </c>
      <c r="Q61" s="166" t="inlineStr">
        <is>
          <t>2022-12-08</t>
        </is>
      </c>
      <c r="R61" s="166" t="inlineStr">
        <is>
          <t>London</t>
        </is>
      </c>
      <c r="S61" s="166" t="inlineStr">
        <is>
          <t>Bachelor's</t>
        </is>
      </c>
      <c r="T61" s="166" t="inlineStr">
        <is>
          <t>High potential</t>
        </is>
      </c>
    </row>
    <row r="62" ht="15" customHeight="1" s="90">
      <c r="A62" s="116" t="inlineStr">
        <is>
          <t>EMP1060</t>
        </is>
      </c>
      <c r="B62" s="116" t="inlineStr">
        <is>
          <t>Richard Hall</t>
        </is>
      </c>
      <c r="C62" s="116" t="inlineStr">
        <is>
          <t>Marketing</t>
        </is>
      </c>
      <c r="D62" s="116" t="inlineStr">
        <is>
          <t>SEO Analyst</t>
        </is>
      </c>
      <c r="E62" s="119" t="n">
        <v>9.699999999999999</v>
      </c>
      <c r="F62" s="118" t="n">
        <v>97000</v>
      </c>
      <c r="G62" s="118" t="n">
        <v>8000</v>
      </c>
      <c r="H62" s="118">
        <f>F62+G62</f>
        <v/>
      </c>
      <c r="I62" s="164" t="inlineStr">
        <is>
          <t>Mike CTO</t>
        </is>
      </c>
      <c r="J62" s="164" t="inlineStr">
        <is>
          <t>Female</t>
        </is>
      </c>
      <c r="K62" s="117" t="n">
        <v>28</v>
      </c>
      <c r="L62" s="165" t="n">
        <v>5</v>
      </c>
      <c r="M62" s="120" t="n">
        <v>0.884</v>
      </c>
      <c r="N62" s="117" t="n">
        <v>36</v>
      </c>
      <c r="O62" s="117" t="n">
        <v>4</v>
      </c>
      <c r="P62" s="164" t="inlineStr">
        <is>
          <t>Active</t>
        </is>
      </c>
      <c r="Q62" s="164" t="inlineStr">
        <is>
          <t>2021-11-19</t>
        </is>
      </c>
      <c r="R62" s="164" t="inlineStr">
        <is>
          <t>Chicago</t>
        </is>
      </c>
      <c r="S62" s="164" t="inlineStr">
        <is>
          <t>PhD</t>
        </is>
      </c>
      <c r="T62" s="164" t="inlineStr">
        <is>
          <t>High potential</t>
        </is>
      </c>
    </row>
    <row r="63" ht="15" customHeight="1" s="90">
      <c r="A63" s="123" t="inlineStr">
        <is>
          <t>EMP1061</t>
        </is>
      </c>
      <c r="B63" s="123" t="inlineStr">
        <is>
          <t>Susan Allen</t>
        </is>
      </c>
      <c r="C63" s="123" t="inlineStr">
        <is>
          <t>Marketing</t>
        </is>
      </c>
      <c r="D63" s="123" t="inlineStr">
        <is>
          <t>SEO Analyst</t>
        </is>
      </c>
      <c r="E63" s="126" t="n">
        <v>2.8</v>
      </c>
      <c r="F63" s="125" t="n">
        <v>98000</v>
      </c>
      <c r="G63" s="125" t="n">
        <v>12500</v>
      </c>
      <c r="H63" s="125">
        <f>F63+G63</f>
        <v/>
      </c>
      <c r="I63" s="166" t="inlineStr">
        <is>
          <t>Amy VP-Eng</t>
        </is>
      </c>
      <c r="J63" s="166" t="inlineStr">
        <is>
          <t>Male</t>
        </is>
      </c>
      <c r="K63" s="124" t="n">
        <v>47</v>
      </c>
      <c r="L63" s="167" t="n">
        <v>5</v>
      </c>
      <c r="M63" s="127" t="n">
        <v>0.86</v>
      </c>
      <c r="N63" s="124" t="n">
        <v>48</v>
      </c>
      <c r="O63" s="124" t="n">
        <v>4</v>
      </c>
      <c r="P63" s="166" t="inlineStr">
        <is>
          <t>Active</t>
        </is>
      </c>
      <c r="Q63" s="166" t="inlineStr">
        <is>
          <t>2018-01-12</t>
        </is>
      </c>
      <c r="R63" s="166" t="inlineStr">
        <is>
          <t>Austin</t>
        </is>
      </c>
      <c r="S63" s="166" t="inlineStr">
        <is>
          <t>Master's</t>
        </is>
      </c>
      <c r="T63" s="166" t="inlineStr">
        <is>
          <t>High potential</t>
        </is>
      </c>
    </row>
    <row r="64" ht="15" customHeight="1" s="90">
      <c r="A64" s="116" t="inlineStr">
        <is>
          <t>EMP1062</t>
        </is>
      </c>
      <c r="B64" s="116" t="inlineStr">
        <is>
          <t>Thomas King</t>
        </is>
      </c>
      <c r="C64" s="116" t="inlineStr">
        <is>
          <t>Marketing</t>
        </is>
      </c>
      <c r="D64" s="116" t="inlineStr">
        <is>
          <t>Marketing Specialist</t>
        </is>
      </c>
      <c r="E64" s="119" t="n">
        <v>7.4</v>
      </c>
      <c r="F64" s="118" t="n">
        <v>74000</v>
      </c>
      <c r="G64" s="118" t="n">
        <v>5000</v>
      </c>
      <c r="H64" s="118">
        <f>F64+G64</f>
        <v/>
      </c>
      <c r="I64" s="164" t="inlineStr">
        <is>
          <t>Mike CTO</t>
        </is>
      </c>
      <c r="J64" s="164" t="inlineStr">
        <is>
          <t>Non-binary</t>
        </is>
      </c>
      <c r="K64" s="117" t="n">
        <v>57</v>
      </c>
      <c r="L64" s="165" t="n">
        <v>3</v>
      </c>
      <c r="M64" s="120" t="n">
        <v>0.884</v>
      </c>
      <c r="N64" s="117" t="n">
        <v>47</v>
      </c>
      <c r="O64" s="117" t="n">
        <v>4</v>
      </c>
      <c r="P64" s="164" t="inlineStr">
        <is>
          <t>Active</t>
        </is>
      </c>
      <c r="Q64" s="164" t="inlineStr">
        <is>
          <t>2023-04-19</t>
        </is>
      </c>
      <c r="R64" s="164" t="inlineStr">
        <is>
          <t>Austin</t>
        </is>
      </c>
      <c r="S64" s="164" t="inlineStr">
        <is>
          <t>Bachelor's</t>
        </is>
      </c>
      <c r="T64" s="164" t="inlineStr">
        <is>
          <t>Standard performer</t>
        </is>
      </c>
    </row>
    <row r="65" ht="15" customHeight="1" s="90">
      <c r="A65" s="123" t="inlineStr">
        <is>
          <t>EMP1063</t>
        </is>
      </c>
      <c r="B65" s="123" t="inlineStr">
        <is>
          <t>Jessica Scott</t>
        </is>
      </c>
      <c r="C65" s="123" t="inlineStr">
        <is>
          <t>Engineering</t>
        </is>
      </c>
      <c r="D65" s="123" t="inlineStr">
        <is>
          <t>Senior Engineer</t>
        </is>
      </c>
      <c r="E65" s="126" t="n">
        <v>7.1</v>
      </c>
      <c r="F65" s="125" t="n">
        <v>119000</v>
      </c>
      <c r="G65" s="125" t="n">
        <v>11500</v>
      </c>
      <c r="H65" s="125">
        <f>F65+G65</f>
        <v/>
      </c>
      <c r="I65" s="166" t="inlineStr">
        <is>
          <t>Tom VP-Sales</t>
        </is>
      </c>
      <c r="J65" s="166" t="inlineStr">
        <is>
          <t>Female</t>
        </is>
      </c>
      <c r="K65" s="124" t="n">
        <v>35</v>
      </c>
      <c r="L65" s="167" t="n">
        <v>3</v>
      </c>
      <c r="M65" s="127" t="n">
        <v>0.826</v>
      </c>
      <c r="N65" s="124" t="n">
        <v>50</v>
      </c>
      <c r="O65" s="124" t="n">
        <v>2</v>
      </c>
      <c r="P65" s="166" t="inlineStr">
        <is>
          <t>Active</t>
        </is>
      </c>
      <c r="Q65" s="166" t="inlineStr">
        <is>
          <t>2017-03-02</t>
        </is>
      </c>
      <c r="R65" s="166" t="inlineStr">
        <is>
          <t>San Francisco</t>
        </is>
      </c>
      <c r="S65" s="166" t="inlineStr">
        <is>
          <t>Bachelor's</t>
        </is>
      </c>
      <c r="T65" s="166" t="inlineStr">
        <is>
          <t>Standard performer</t>
        </is>
      </c>
    </row>
    <row r="66" ht="15" customHeight="1" s="90">
      <c r="A66" s="116" t="inlineStr">
        <is>
          <t>EMP1064</t>
        </is>
      </c>
      <c r="B66" s="116" t="inlineStr">
        <is>
          <t>Charles Green</t>
        </is>
      </c>
      <c r="C66" s="116" t="inlineStr">
        <is>
          <t>Executive</t>
        </is>
      </c>
      <c r="D66" s="116" t="inlineStr">
        <is>
          <t>Chief of Staff</t>
        </is>
      </c>
      <c r="E66" s="119" t="n">
        <v>4.7</v>
      </c>
      <c r="F66" s="118" t="n">
        <v>200000</v>
      </c>
      <c r="G66" s="118" t="n">
        <v>35000</v>
      </c>
      <c r="H66" s="118">
        <f>F66+G66</f>
        <v/>
      </c>
      <c r="I66" s="164" t="inlineStr">
        <is>
          <t>Mike CTO</t>
        </is>
      </c>
      <c r="J66" s="164" t="inlineStr">
        <is>
          <t>Male</t>
        </is>
      </c>
      <c r="K66" s="117" t="n">
        <v>26</v>
      </c>
      <c r="L66" s="165" t="n">
        <v>3</v>
      </c>
      <c r="M66" s="120" t="n">
        <v>0.907</v>
      </c>
      <c r="N66" s="117" t="n">
        <v>48</v>
      </c>
      <c r="O66" s="117" t="n">
        <v>4</v>
      </c>
      <c r="P66" s="164" t="inlineStr">
        <is>
          <t>Active</t>
        </is>
      </c>
      <c r="Q66" s="164" t="inlineStr">
        <is>
          <t>2023-05-25</t>
        </is>
      </c>
      <c r="R66" s="164" t="inlineStr">
        <is>
          <t>Chicago</t>
        </is>
      </c>
      <c r="S66" s="164" t="inlineStr">
        <is>
          <t>PhD</t>
        </is>
      </c>
      <c r="T66" s="164" t="inlineStr">
        <is>
          <t>Standard performer</t>
        </is>
      </c>
    </row>
    <row r="67" ht="15" customHeight="1" s="90">
      <c r="A67" s="123" t="inlineStr">
        <is>
          <t>EMP1065</t>
        </is>
      </c>
      <c r="B67" s="123" t="inlineStr">
        <is>
          <t>Sarah Baker</t>
        </is>
      </c>
      <c r="C67" s="123" t="inlineStr">
        <is>
          <t>HR</t>
        </is>
      </c>
      <c r="D67" s="123" t="inlineStr">
        <is>
          <t>HR Coordinator</t>
        </is>
      </c>
      <c r="E67" s="126" t="n">
        <v>3.2</v>
      </c>
      <c r="F67" s="125" t="n">
        <v>80000</v>
      </c>
      <c r="G67" s="125" t="n">
        <v>10500</v>
      </c>
      <c r="H67" s="125">
        <f>F67+G67</f>
        <v/>
      </c>
      <c r="I67" s="166" t="inlineStr">
        <is>
          <t>Paul COO</t>
        </is>
      </c>
      <c r="J67" s="166" t="inlineStr">
        <is>
          <t>Female</t>
        </is>
      </c>
      <c r="K67" s="124" t="n">
        <v>28</v>
      </c>
      <c r="L67" s="167" t="n">
        <v>4</v>
      </c>
      <c r="M67" s="127" t="n">
        <v>0.895</v>
      </c>
      <c r="N67" s="124" t="n">
        <v>37</v>
      </c>
      <c r="O67" s="124" t="n">
        <v>2</v>
      </c>
      <c r="P67" s="166" t="inlineStr">
        <is>
          <t>Active</t>
        </is>
      </c>
      <c r="Q67" s="166" t="inlineStr">
        <is>
          <t>2018-01-24</t>
        </is>
      </c>
      <c r="R67" s="166" t="inlineStr">
        <is>
          <t>Toronto</t>
        </is>
      </c>
      <c r="S67" s="166" t="inlineStr">
        <is>
          <t>MBA</t>
        </is>
      </c>
      <c r="T67" s="166" t="inlineStr">
        <is>
          <t>High potential</t>
        </is>
      </c>
    </row>
    <row r="68" ht="15" customHeight="1" s="90">
      <c r="A68" s="116" t="inlineStr">
        <is>
          <t>EMP1066</t>
        </is>
      </c>
      <c r="B68" s="116" t="inlineStr">
        <is>
          <t>Daniel Adams</t>
        </is>
      </c>
      <c r="C68" s="116" t="inlineStr">
        <is>
          <t>Sales</t>
        </is>
      </c>
      <c r="D68" s="116" t="inlineStr">
        <is>
          <t>Sales Manager</t>
        </is>
      </c>
      <c r="E68" s="119" t="n">
        <v>6.2</v>
      </c>
      <c r="F68" s="118" t="n">
        <v>68000</v>
      </c>
      <c r="G68" s="118" t="n">
        <v>11500</v>
      </c>
      <c r="H68" s="118">
        <f>F68+G68</f>
        <v/>
      </c>
      <c r="I68" s="164" t="inlineStr">
        <is>
          <t>Mike CTO</t>
        </is>
      </c>
      <c r="J68" s="164" t="inlineStr">
        <is>
          <t>Non-binary</t>
        </is>
      </c>
      <c r="K68" s="117" t="n">
        <v>44</v>
      </c>
      <c r="L68" s="165" t="n">
        <v>2</v>
      </c>
      <c r="M68" s="120" t="n">
        <v>0.978</v>
      </c>
      <c r="N68" s="117" t="n">
        <v>80</v>
      </c>
      <c r="O68" s="117" t="n">
        <v>4</v>
      </c>
      <c r="P68" s="164" t="inlineStr">
        <is>
          <t>Active</t>
        </is>
      </c>
      <c r="Q68" s="164" t="inlineStr">
        <is>
          <t>2016-04-24</t>
        </is>
      </c>
      <c r="R68" s="164" t="inlineStr">
        <is>
          <t>Remote</t>
        </is>
      </c>
      <c r="S68" s="164" t="inlineStr">
        <is>
          <t>Bachelor's</t>
        </is>
      </c>
      <c r="T68" s="164" t="inlineStr">
        <is>
          <t>PIP recommended</t>
        </is>
      </c>
    </row>
    <row r="69" ht="15" customHeight="1" s="90">
      <c r="A69" s="123" t="inlineStr">
        <is>
          <t>EMP1067</t>
        </is>
      </c>
      <c r="B69" s="123" t="inlineStr">
        <is>
          <t>Karen Nelson</t>
        </is>
      </c>
      <c r="C69" s="123" t="inlineStr">
        <is>
          <t>Engineering</t>
        </is>
      </c>
      <c r="D69" s="123" t="inlineStr">
        <is>
          <t>DevOps Engineer</t>
        </is>
      </c>
      <c r="E69" s="126" t="n">
        <v>9.6</v>
      </c>
      <c r="F69" s="125" t="n">
        <v>108000</v>
      </c>
      <c r="G69" s="125" t="n">
        <v>20500</v>
      </c>
      <c r="H69" s="125">
        <f>F69+G69</f>
        <v/>
      </c>
      <c r="I69" s="166" t="inlineStr">
        <is>
          <t>Kat VP-Prod</t>
        </is>
      </c>
      <c r="J69" s="166" t="inlineStr">
        <is>
          <t>Non-binary</t>
        </is>
      </c>
      <c r="K69" s="124" t="n">
        <v>27</v>
      </c>
      <c r="L69" s="167" t="n">
        <v>3</v>
      </c>
      <c r="M69" s="127" t="n">
        <v>0.978</v>
      </c>
      <c r="N69" s="124" t="n">
        <v>51</v>
      </c>
      <c r="O69" s="124" t="n">
        <v>1</v>
      </c>
      <c r="P69" s="166" t="inlineStr">
        <is>
          <t>Active</t>
        </is>
      </c>
      <c r="Q69" s="166" t="inlineStr">
        <is>
          <t>2013-09-22</t>
        </is>
      </c>
      <c r="R69" s="166" t="inlineStr">
        <is>
          <t>Chicago</t>
        </is>
      </c>
      <c r="S69" s="166" t="inlineStr">
        <is>
          <t>Master's</t>
        </is>
      </c>
      <c r="T69" s="166" t="inlineStr">
        <is>
          <t>Standard performer</t>
        </is>
      </c>
    </row>
    <row r="70" ht="15" customHeight="1" s="90">
      <c r="A70" s="116" t="inlineStr">
        <is>
          <t>EMP1068</t>
        </is>
      </c>
      <c r="B70" s="116" t="inlineStr">
        <is>
          <t>Matthew Hill</t>
        </is>
      </c>
      <c r="C70" s="116" t="inlineStr">
        <is>
          <t>Marketing</t>
        </is>
      </c>
      <c r="D70" s="116" t="inlineStr">
        <is>
          <t>Digital Marketer</t>
        </is>
      </c>
      <c r="E70" s="119" t="n">
        <v>6</v>
      </c>
      <c r="F70" s="118" t="n">
        <v>73000</v>
      </c>
      <c r="G70" s="118" t="n">
        <v>12500</v>
      </c>
      <c r="H70" s="118">
        <f>F70+G70</f>
        <v/>
      </c>
      <c r="I70" s="164" t="inlineStr">
        <is>
          <t>Lisa VP-HR</t>
        </is>
      </c>
      <c r="J70" s="164" t="inlineStr">
        <is>
          <t>Female</t>
        </is>
      </c>
      <c r="K70" s="117" t="n">
        <v>29</v>
      </c>
      <c r="L70" s="165" t="n">
        <v>5</v>
      </c>
      <c r="M70" s="120" t="n">
        <v>0.9330000000000001</v>
      </c>
      <c r="N70" s="117" t="n">
        <v>23</v>
      </c>
      <c r="O70" s="117" t="n">
        <v>0</v>
      </c>
      <c r="P70" s="164" t="inlineStr">
        <is>
          <t>Active</t>
        </is>
      </c>
      <c r="Q70" s="164" t="inlineStr">
        <is>
          <t>2023-09-25</t>
        </is>
      </c>
      <c r="R70" s="164" t="inlineStr">
        <is>
          <t>Boston</t>
        </is>
      </c>
      <c r="S70" s="164" t="inlineStr">
        <is>
          <t>PhD</t>
        </is>
      </c>
      <c r="T70" s="164" t="inlineStr">
        <is>
          <t>High potential</t>
        </is>
      </c>
    </row>
    <row r="71" ht="15" customHeight="1" s="90">
      <c r="A71" s="123" t="inlineStr">
        <is>
          <t>EMP1069</t>
        </is>
      </c>
      <c r="B71" s="123" t="inlineStr">
        <is>
          <t>Lisa Ramirez</t>
        </is>
      </c>
      <c r="C71" s="123" t="inlineStr">
        <is>
          <t>Marketing</t>
        </is>
      </c>
      <c r="D71" s="123" t="inlineStr">
        <is>
          <t>Content Manager</t>
        </is>
      </c>
      <c r="E71" s="126" t="n">
        <v>8.699999999999999</v>
      </c>
      <c r="F71" s="125" t="n">
        <v>66000</v>
      </c>
      <c r="G71" s="125" t="n">
        <v>10500</v>
      </c>
      <c r="H71" s="125">
        <f>F71+G71</f>
        <v/>
      </c>
      <c r="I71" s="166" t="inlineStr">
        <is>
          <t>Amy VP-Eng</t>
        </is>
      </c>
      <c r="J71" s="166" t="inlineStr">
        <is>
          <t>Female</t>
        </is>
      </c>
      <c r="K71" s="124" t="n">
        <v>37</v>
      </c>
      <c r="L71" s="167" t="n">
        <v>4</v>
      </c>
      <c r="M71" s="127" t="n">
        <v>0.958</v>
      </c>
      <c r="N71" s="124" t="n">
        <v>30</v>
      </c>
      <c r="O71" s="124" t="n">
        <v>3</v>
      </c>
      <c r="P71" s="166" t="inlineStr">
        <is>
          <t>Active</t>
        </is>
      </c>
      <c r="Q71" s="166" t="inlineStr">
        <is>
          <t>2019-08-07</t>
        </is>
      </c>
      <c r="R71" s="166" t="inlineStr">
        <is>
          <t>San Francisco</t>
        </is>
      </c>
      <c r="S71" s="166" t="inlineStr">
        <is>
          <t>Bachelor's</t>
        </is>
      </c>
      <c r="T71" s="166" t="inlineStr">
        <is>
          <t>High potential</t>
        </is>
      </c>
    </row>
    <row r="72" ht="15" customHeight="1" s="90">
      <c r="A72" s="116" t="inlineStr">
        <is>
          <t>EMP1070</t>
        </is>
      </c>
      <c r="B72" s="116" t="inlineStr">
        <is>
          <t>Anthony Campbell</t>
        </is>
      </c>
      <c r="C72" s="116" t="inlineStr">
        <is>
          <t>HR</t>
        </is>
      </c>
      <c r="D72" s="116" t="inlineStr">
        <is>
          <t>HRBP</t>
        </is>
      </c>
      <c r="E72" s="119" t="n">
        <v>7.3</v>
      </c>
      <c r="F72" s="118" t="n">
        <v>53000</v>
      </c>
      <c r="G72" s="118" t="n">
        <v>6000</v>
      </c>
      <c r="H72" s="118">
        <f>F72+G72</f>
        <v/>
      </c>
      <c r="I72" s="164" t="inlineStr">
        <is>
          <t>Rex VP-Mktg</t>
        </is>
      </c>
      <c r="J72" s="164" t="inlineStr">
        <is>
          <t>Non-binary</t>
        </is>
      </c>
      <c r="K72" s="117" t="n">
        <v>38</v>
      </c>
      <c r="L72" s="165" t="n">
        <v>3</v>
      </c>
      <c r="M72" s="120" t="n">
        <v>0.874</v>
      </c>
      <c r="N72" s="117" t="n">
        <v>15</v>
      </c>
      <c r="O72" s="117" t="n">
        <v>0</v>
      </c>
      <c r="P72" s="164" t="inlineStr">
        <is>
          <t>Active</t>
        </is>
      </c>
      <c r="Q72" s="164" t="inlineStr">
        <is>
          <t>2013-01-29</t>
        </is>
      </c>
      <c r="R72" s="164" t="inlineStr">
        <is>
          <t>Remote</t>
        </is>
      </c>
      <c r="S72" s="164" t="inlineStr">
        <is>
          <t>Bachelor's</t>
        </is>
      </c>
      <c r="T72" s="164" t="inlineStr">
        <is>
          <t>Standard performer</t>
        </is>
      </c>
    </row>
    <row r="73" ht="15" customHeight="1" s="90">
      <c r="A73" s="123" t="inlineStr">
        <is>
          <t>EMP1071</t>
        </is>
      </c>
      <c r="B73" s="123" t="inlineStr">
        <is>
          <t>Nancy Mitchell</t>
        </is>
      </c>
      <c r="C73" s="123" t="inlineStr">
        <is>
          <t>Customer Success</t>
        </is>
      </c>
      <c r="D73" s="123" t="inlineStr">
        <is>
          <t>Account Manager</t>
        </is>
      </c>
      <c r="E73" s="126" t="n">
        <v>7.7</v>
      </c>
      <c r="F73" s="125" t="n">
        <v>85000</v>
      </c>
      <c r="G73" s="125" t="n">
        <v>17000</v>
      </c>
      <c r="H73" s="125">
        <f>F73+G73</f>
        <v/>
      </c>
      <c r="I73" s="166" t="inlineStr">
        <is>
          <t>Paul COO</t>
        </is>
      </c>
      <c r="J73" s="166" t="inlineStr">
        <is>
          <t>Male</t>
        </is>
      </c>
      <c r="K73" s="124" t="n">
        <v>32</v>
      </c>
      <c r="L73" s="167" t="n">
        <v>4</v>
      </c>
      <c r="M73" s="127" t="n">
        <v>0.849</v>
      </c>
      <c r="N73" s="124" t="n">
        <v>77</v>
      </c>
      <c r="O73" s="124" t="n">
        <v>2</v>
      </c>
      <c r="P73" s="166" t="inlineStr">
        <is>
          <t>Active</t>
        </is>
      </c>
      <c r="Q73" s="166" t="inlineStr">
        <is>
          <t>2021-05-07</t>
        </is>
      </c>
      <c r="R73" s="166" t="inlineStr">
        <is>
          <t>San Francisco</t>
        </is>
      </c>
      <c r="S73" s="166" t="inlineStr">
        <is>
          <t>Bachelor's</t>
        </is>
      </c>
      <c r="T73" s="166" t="inlineStr">
        <is>
          <t>High potential</t>
        </is>
      </c>
    </row>
    <row r="74" ht="15" customHeight="1" s="90">
      <c r="A74" s="116" t="inlineStr">
        <is>
          <t>EMP1072</t>
        </is>
      </c>
      <c r="B74" s="116" t="inlineStr">
        <is>
          <t>Mark Roberts</t>
        </is>
      </c>
      <c r="C74" s="116" t="inlineStr">
        <is>
          <t>Product</t>
        </is>
      </c>
      <c r="D74" s="116" t="inlineStr">
        <is>
          <t>VP Product</t>
        </is>
      </c>
      <c r="E74" s="119" t="n">
        <v>8.1</v>
      </c>
      <c r="F74" s="118" t="n">
        <v>124000</v>
      </c>
      <c r="G74" s="118" t="n">
        <v>6500</v>
      </c>
      <c r="H74" s="118">
        <f>F74+G74</f>
        <v/>
      </c>
      <c r="I74" s="164" t="inlineStr">
        <is>
          <t>Jane CEO</t>
        </is>
      </c>
      <c r="J74" s="164" t="inlineStr">
        <is>
          <t>Female</t>
        </is>
      </c>
      <c r="K74" s="117" t="n">
        <v>42</v>
      </c>
      <c r="L74" s="165" t="n">
        <v>5</v>
      </c>
      <c r="M74" s="120" t="n">
        <v>0.876</v>
      </c>
      <c r="N74" s="117" t="n">
        <v>21</v>
      </c>
      <c r="O74" s="117" t="n">
        <v>5</v>
      </c>
      <c r="P74" s="164" t="inlineStr">
        <is>
          <t>Active</t>
        </is>
      </c>
      <c r="Q74" s="164" t="inlineStr">
        <is>
          <t>2019-04-14</t>
        </is>
      </c>
      <c r="R74" s="164" t="inlineStr">
        <is>
          <t>New York</t>
        </is>
      </c>
      <c r="S74" s="164" t="inlineStr">
        <is>
          <t>Associate's</t>
        </is>
      </c>
      <c r="T74" s="164" t="inlineStr">
        <is>
          <t>High potential</t>
        </is>
      </c>
    </row>
    <row r="75" ht="15" customHeight="1" s="90">
      <c r="A75" s="123" t="inlineStr">
        <is>
          <t>EMP1073</t>
        </is>
      </c>
      <c r="B75" s="123" t="inlineStr">
        <is>
          <t>Betty Carter</t>
        </is>
      </c>
      <c r="C75" s="123" t="inlineStr">
        <is>
          <t>Sales</t>
        </is>
      </c>
      <c r="D75" s="123" t="inlineStr">
        <is>
          <t>Enterprise AE</t>
        </is>
      </c>
      <c r="E75" s="126" t="n">
        <v>1.4</v>
      </c>
      <c r="F75" s="125" t="n">
        <v>71000</v>
      </c>
      <c r="G75" s="125" t="n">
        <v>13000</v>
      </c>
      <c r="H75" s="125">
        <f>F75+G75</f>
        <v/>
      </c>
      <c r="I75" s="166" t="inlineStr">
        <is>
          <t>Mike CTO</t>
        </is>
      </c>
      <c r="J75" s="166" t="inlineStr">
        <is>
          <t>Male</t>
        </is>
      </c>
      <c r="K75" s="124" t="n">
        <v>53</v>
      </c>
      <c r="L75" s="167" t="n">
        <v>5</v>
      </c>
      <c r="M75" s="127" t="n">
        <v>0.967</v>
      </c>
      <c r="N75" s="124" t="n">
        <v>75</v>
      </c>
      <c r="O75" s="124" t="n">
        <v>4</v>
      </c>
      <c r="P75" s="166" t="inlineStr">
        <is>
          <t>Active</t>
        </is>
      </c>
      <c r="Q75" s="166" t="inlineStr">
        <is>
          <t>2022-07-31</t>
        </is>
      </c>
      <c r="R75" s="166" t="inlineStr">
        <is>
          <t>New York</t>
        </is>
      </c>
      <c r="S75" s="166" t="inlineStr">
        <is>
          <t>Bachelor's</t>
        </is>
      </c>
      <c r="T75" s="166" t="inlineStr">
        <is>
          <t>High potential</t>
        </is>
      </c>
    </row>
    <row r="76" ht="15" customHeight="1" s="90">
      <c r="A76" s="116" t="inlineStr">
        <is>
          <t>EMP1074</t>
        </is>
      </c>
      <c r="B76" s="116" t="inlineStr">
        <is>
          <t>Donald Phillips</t>
        </is>
      </c>
      <c r="C76" s="116" t="inlineStr">
        <is>
          <t>Engineering</t>
        </is>
      </c>
      <c r="D76" s="116" t="inlineStr">
        <is>
          <t>Engineering Manager</t>
        </is>
      </c>
      <c r="E76" s="119" t="n">
        <v>10.6</v>
      </c>
      <c r="F76" s="118" t="n">
        <v>117000</v>
      </c>
      <c r="G76" s="118" t="n">
        <v>16000</v>
      </c>
      <c r="H76" s="118">
        <f>F76+G76</f>
        <v/>
      </c>
      <c r="I76" s="164" t="inlineStr">
        <is>
          <t>Mike CTO</t>
        </is>
      </c>
      <c r="J76" s="164" t="inlineStr">
        <is>
          <t>Male</t>
        </is>
      </c>
      <c r="K76" s="117" t="n">
        <v>50</v>
      </c>
      <c r="L76" s="165" t="n">
        <v>4</v>
      </c>
      <c r="M76" s="120" t="n">
        <v>0.909</v>
      </c>
      <c r="N76" s="117" t="n">
        <v>71</v>
      </c>
      <c r="O76" s="117" t="n">
        <v>1</v>
      </c>
      <c r="P76" s="164" t="inlineStr">
        <is>
          <t>Active</t>
        </is>
      </c>
      <c r="Q76" s="164" t="inlineStr">
        <is>
          <t>2023-06-29</t>
        </is>
      </c>
      <c r="R76" s="164" t="inlineStr">
        <is>
          <t>Austin</t>
        </is>
      </c>
      <c r="S76" s="164" t="inlineStr">
        <is>
          <t>MBA</t>
        </is>
      </c>
      <c r="T76" s="164" t="inlineStr">
        <is>
          <t>High potential</t>
        </is>
      </c>
    </row>
    <row r="77" ht="15" customHeight="1" s="90">
      <c r="A77" s="123" t="inlineStr">
        <is>
          <t>EMP1075</t>
        </is>
      </c>
      <c r="B77" s="123" t="inlineStr">
        <is>
          <t>Margaret Evans</t>
        </is>
      </c>
      <c r="C77" s="123" t="inlineStr">
        <is>
          <t>Operations</t>
        </is>
      </c>
      <c r="D77" s="123" t="inlineStr">
        <is>
          <t>Supply Chain Lead</t>
        </is>
      </c>
      <c r="E77" s="126" t="n">
        <v>3.3</v>
      </c>
      <c r="F77" s="125" t="n">
        <v>57000</v>
      </c>
      <c r="G77" s="125" t="n">
        <v>7500</v>
      </c>
      <c r="H77" s="125">
        <f>F77+G77</f>
        <v/>
      </c>
      <c r="I77" s="166" t="inlineStr">
        <is>
          <t>Mike CTO</t>
        </is>
      </c>
      <c r="J77" s="166" t="inlineStr">
        <is>
          <t>Female</t>
        </is>
      </c>
      <c r="K77" s="124" t="n">
        <v>56</v>
      </c>
      <c r="L77" s="167" t="n">
        <v>4</v>
      </c>
      <c r="M77" s="127" t="n">
        <v>0.869</v>
      </c>
      <c r="N77" s="124" t="n">
        <v>63</v>
      </c>
      <c r="O77" s="124" t="n">
        <v>4</v>
      </c>
      <c r="P77" s="166" t="inlineStr">
        <is>
          <t>Active</t>
        </is>
      </c>
      <c r="Q77" s="166" t="inlineStr">
        <is>
          <t>2017-01-12</t>
        </is>
      </c>
      <c r="R77" s="166" t="inlineStr">
        <is>
          <t>Toronto</t>
        </is>
      </c>
      <c r="S77" s="166" t="inlineStr">
        <is>
          <t>Bachelor's</t>
        </is>
      </c>
      <c r="T77" s="166" t="inlineStr">
        <is>
          <t>High potential</t>
        </is>
      </c>
    </row>
    <row r="78" ht="15" customHeight="1" s="90">
      <c r="A78" s="116" t="inlineStr">
        <is>
          <t>EMP1076</t>
        </is>
      </c>
      <c r="B78" s="116" t="inlineStr">
        <is>
          <t>Paul Turner</t>
        </is>
      </c>
      <c r="C78" s="116" t="inlineStr">
        <is>
          <t>Finance</t>
        </is>
      </c>
      <c r="D78" s="116" t="inlineStr">
        <is>
          <t>Accountant</t>
        </is>
      </c>
      <c r="E78" s="119" t="n">
        <v>5.1</v>
      </c>
      <c r="F78" s="118" t="n">
        <v>93000</v>
      </c>
      <c r="G78" s="118" t="n">
        <v>18000</v>
      </c>
      <c r="H78" s="118">
        <f>F78+G78</f>
        <v/>
      </c>
      <c r="I78" s="164" t="inlineStr">
        <is>
          <t>Jane CEO</t>
        </is>
      </c>
      <c r="J78" s="164" t="inlineStr">
        <is>
          <t>Male</t>
        </is>
      </c>
      <c r="K78" s="117" t="n">
        <v>38</v>
      </c>
      <c r="L78" s="165" t="n">
        <v>4</v>
      </c>
      <c r="M78" s="120" t="n">
        <v>0.954</v>
      </c>
      <c r="N78" s="117" t="n">
        <v>37</v>
      </c>
      <c r="O78" s="117" t="n">
        <v>2</v>
      </c>
      <c r="P78" s="164" t="inlineStr">
        <is>
          <t>Active</t>
        </is>
      </c>
      <c r="Q78" s="164" t="inlineStr">
        <is>
          <t>2019-07-15</t>
        </is>
      </c>
      <c r="R78" s="164" t="inlineStr">
        <is>
          <t>Toronto</t>
        </is>
      </c>
      <c r="S78" s="164" t="inlineStr">
        <is>
          <t>Bachelor's</t>
        </is>
      </c>
      <c r="T78" s="164" t="inlineStr">
        <is>
          <t>High potential</t>
        </is>
      </c>
    </row>
    <row r="79" ht="15" customHeight="1" s="90">
      <c r="A79" s="123" t="inlineStr">
        <is>
          <t>EMP1077</t>
        </is>
      </c>
      <c r="B79" s="123" t="inlineStr">
        <is>
          <t>Sandra Torres</t>
        </is>
      </c>
      <c r="C79" s="123" t="inlineStr">
        <is>
          <t>Operations</t>
        </is>
      </c>
      <c r="D79" s="123" t="inlineStr">
        <is>
          <t>Operations Analyst</t>
        </is>
      </c>
      <c r="E79" s="126" t="n">
        <v>6.3</v>
      </c>
      <c r="F79" s="125" t="n">
        <v>97000</v>
      </c>
      <c r="G79" s="125" t="n">
        <v>10500</v>
      </c>
      <c r="H79" s="125">
        <f>F79+G79</f>
        <v/>
      </c>
      <c r="I79" s="166" t="inlineStr">
        <is>
          <t>Jane CEO</t>
        </is>
      </c>
      <c r="J79" s="166" t="inlineStr">
        <is>
          <t>Female</t>
        </is>
      </c>
      <c r="K79" s="124" t="n">
        <v>22</v>
      </c>
      <c r="L79" s="167" t="n">
        <v>4</v>
      </c>
      <c r="M79" s="127" t="n">
        <v>0.882</v>
      </c>
      <c r="N79" s="124" t="n">
        <v>39</v>
      </c>
      <c r="O79" s="124" t="n">
        <v>1</v>
      </c>
      <c r="P79" s="166" t="inlineStr">
        <is>
          <t>Active</t>
        </is>
      </c>
      <c r="Q79" s="166" t="inlineStr">
        <is>
          <t>2015-04-16</t>
        </is>
      </c>
      <c r="R79" s="166" t="inlineStr">
        <is>
          <t>New York</t>
        </is>
      </c>
      <c r="S79" s="166" t="inlineStr">
        <is>
          <t>MBA</t>
        </is>
      </c>
      <c r="T79" s="166" t="inlineStr">
        <is>
          <t>High potential</t>
        </is>
      </c>
    </row>
    <row r="80" ht="15" customHeight="1" s="90">
      <c r="A80" s="116" t="inlineStr">
        <is>
          <t>EMP1078</t>
        </is>
      </c>
      <c r="B80" s="116" t="inlineStr">
        <is>
          <t>Steven Collins</t>
        </is>
      </c>
      <c r="C80" s="116" t="inlineStr">
        <is>
          <t>Marketing</t>
        </is>
      </c>
      <c r="D80" s="116" t="inlineStr">
        <is>
          <t>Campaign Manager</t>
        </is>
      </c>
      <c r="E80" s="119" t="n">
        <v>7.1</v>
      </c>
      <c r="F80" s="118" t="n">
        <v>88000</v>
      </c>
      <c r="G80" s="118" t="n">
        <v>6500</v>
      </c>
      <c r="H80" s="118">
        <f>F80+G80</f>
        <v/>
      </c>
      <c r="I80" s="164" t="inlineStr">
        <is>
          <t>Paul COO</t>
        </is>
      </c>
      <c r="J80" s="164" t="inlineStr">
        <is>
          <t>Non-binary</t>
        </is>
      </c>
      <c r="K80" s="117" t="n">
        <v>43</v>
      </c>
      <c r="L80" s="165" t="n">
        <v>1</v>
      </c>
      <c r="M80" s="120" t="n">
        <v>0.896</v>
      </c>
      <c r="N80" s="117" t="n">
        <v>75</v>
      </c>
      <c r="O80" s="117" t="n">
        <v>1</v>
      </c>
      <c r="P80" s="164" t="inlineStr">
        <is>
          <t>Active</t>
        </is>
      </c>
      <c r="Q80" s="164" t="inlineStr">
        <is>
          <t>2020-01-11</t>
        </is>
      </c>
      <c r="R80" s="164" t="inlineStr">
        <is>
          <t>New York</t>
        </is>
      </c>
      <c r="S80" s="164" t="inlineStr">
        <is>
          <t>Master's</t>
        </is>
      </c>
      <c r="T80" s="164" t="inlineStr">
        <is>
          <t>PIP recommended</t>
        </is>
      </c>
    </row>
    <row r="81" ht="15" customHeight="1" s="90">
      <c r="A81" s="123" t="inlineStr">
        <is>
          <t>EMP1079</t>
        </is>
      </c>
      <c r="B81" s="123" t="inlineStr">
        <is>
          <t>Ashley Parker</t>
        </is>
      </c>
      <c r="C81" s="123" t="inlineStr">
        <is>
          <t>Marketing</t>
        </is>
      </c>
      <c r="D81" s="123" t="inlineStr">
        <is>
          <t>SEO Analyst</t>
        </is>
      </c>
      <c r="E81" s="126" t="n">
        <v>9.1</v>
      </c>
      <c r="F81" s="125" t="n">
        <v>94000</v>
      </c>
      <c r="G81" s="125" t="n">
        <v>6500</v>
      </c>
      <c r="H81" s="125">
        <f>F81+G81</f>
        <v/>
      </c>
      <c r="I81" s="166" t="inlineStr">
        <is>
          <t>Mike CTO</t>
        </is>
      </c>
      <c r="J81" s="166" t="inlineStr">
        <is>
          <t>Male</t>
        </is>
      </c>
      <c r="K81" s="124" t="n">
        <v>52</v>
      </c>
      <c r="L81" s="167" t="n">
        <v>3</v>
      </c>
      <c r="M81" s="127" t="n">
        <v>0.902</v>
      </c>
      <c r="N81" s="124" t="n">
        <v>11</v>
      </c>
      <c r="O81" s="124" t="n">
        <v>5</v>
      </c>
      <c r="P81" s="166" t="inlineStr">
        <is>
          <t>Active</t>
        </is>
      </c>
      <c r="Q81" s="166" t="inlineStr">
        <is>
          <t>2018-10-14</t>
        </is>
      </c>
      <c r="R81" s="166" t="inlineStr">
        <is>
          <t>San Francisco</t>
        </is>
      </c>
      <c r="S81" s="166" t="inlineStr">
        <is>
          <t>Master's</t>
        </is>
      </c>
      <c r="T81" s="166" t="inlineStr">
        <is>
          <t>Standard performer</t>
        </is>
      </c>
    </row>
    <row r="82" ht="15" customHeight="1" s="90">
      <c r="A82" s="116" t="inlineStr">
        <is>
          <t>EMP1080</t>
        </is>
      </c>
      <c r="B82" s="116" t="inlineStr">
        <is>
          <t>Andrew Smith</t>
        </is>
      </c>
      <c r="C82" s="116" t="inlineStr">
        <is>
          <t>Operations</t>
        </is>
      </c>
      <c r="D82" s="116" t="inlineStr">
        <is>
          <t>Operations Manager</t>
        </is>
      </c>
      <c r="E82" s="119" t="n">
        <v>7.3</v>
      </c>
      <c r="F82" s="118" t="n">
        <v>88000</v>
      </c>
      <c r="G82" s="118" t="n">
        <v>9500</v>
      </c>
      <c r="H82" s="118">
        <f>F82+G82</f>
        <v/>
      </c>
      <c r="I82" s="164" t="inlineStr">
        <is>
          <t>Jane CEO</t>
        </is>
      </c>
      <c r="J82" s="164" t="inlineStr">
        <is>
          <t>Female</t>
        </is>
      </c>
      <c r="K82" s="117" t="n">
        <v>24</v>
      </c>
      <c r="L82" s="165" t="n">
        <v>1</v>
      </c>
      <c r="M82" s="120" t="n">
        <v>0.867</v>
      </c>
      <c r="N82" s="117" t="n">
        <v>69</v>
      </c>
      <c r="O82" s="117" t="n">
        <v>2</v>
      </c>
      <c r="P82" s="164" t="inlineStr">
        <is>
          <t>Active</t>
        </is>
      </c>
      <c r="Q82" s="164" t="inlineStr">
        <is>
          <t>2015-06-15</t>
        </is>
      </c>
      <c r="R82" s="164" t="inlineStr">
        <is>
          <t>London</t>
        </is>
      </c>
      <c r="S82" s="164" t="inlineStr">
        <is>
          <t>Master's</t>
        </is>
      </c>
      <c r="T82" s="164" t="inlineStr">
        <is>
          <t>PIP recommended</t>
        </is>
      </c>
    </row>
    <row r="83" ht="15" customHeight="1" s="90">
      <c r="A83" s="123" t="inlineStr">
        <is>
          <t>EMP1081</t>
        </is>
      </c>
      <c r="B83" s="123" t="inlineStr">
        <is>
          <t>Emily Johnson</t>
        </is>
      </c>
      <c r="C83" s="123" t="inlineStr">
        <is>
          <t>Engineering</t>
        </is>
      </c>
      <c r="D83" s="123" t="inlineStr">
        <is>
          <t>Software Engineer</t>
        </is>
      </c>
      <c r="E83" s="126" t="n">
        <v>2</v>
      </c>
      <c r="F83" s="125" t="n">
        <v>117000</v>
      </c>
      <c r="G83" s="125" t="n">
        <v>6000</v>
      </c>
      <c r="H83" s="125">
        <f>F83+G83</f>
        <v/>
      </c>
      <c r="I83" s="166" t="inlineStr">
        <is>
          <t>Tom VP-Sales</t>
        </is>
      </c>
      <c r="J83" s="166" t="inlineStr">
        <is>
          <t>Female</t>
        </is>
      </c>
      <c r="K83" s="124" t="n">
        <v>35</v>
      </c>
      <c r="L83" s="167" t="n">
        <v>4</v>
      </c>
      <c r="M83" s="127" t="n">
        <v>0.944</v>
      </c>
      <c r="N83" s="124" t="n">
        <v>20</v>
      </c>
      <c r="O83" s="124" t="n">
        <v>3</v>
      </c>
      <c r="P83" s="166" t="inlineStr">
        <is>
          <t>Active</t>
        </is>
      </c>
      <c r="Q83" s="166" t="inlineStr">
        <is>
          <t>2014-04-17</t>
        </is>
      </c>
      <c r="R83" s="166" t="inlineStr">
        <is>
          <t>New York</t>
        </is>
      </c>
      <c r="S83" s="166" t="inlineStr">
        <is>
          <t>PhD</t>
        </is>
      </c>
      <c r="T83" s="166" t="inlineStr">
        <is>
          <t>High potential</t>
        </is>
      </c>
    </row>
    <row r="84" ht="15" customHeight="1" s="90">
      <c r="A84" s="116" t="inlineStr">
        <is>
          <t>EMP1082</t>
        </is>
      </c>
      <c r="B84" s="116" t="inlineStr">
        <is>
          <t>Kenneth Williams</t>
        </is>
      </c>
      <c r="C84" s="116" t="inlineStr">
        <is>
          <t>R&amp;D</t>
        </is>
      </c>
      <c r="D84" s="116" t="inlineStr">
        <is>
          <t>Research Engineer</t>
        </is>
      </c>
      <c r="E84" s="119" t="n">
        <v>2.1</v>
      </c>
      <c r="F84" s="118" t="n">
        <v>89000</v>
      </c>
      <c r="G84" s="118" t="n">
        <v>11500</v>
      </c>
      <c r="H84" s="118">
        <f>F84+G84</f>
        <v/>
      </c>
      <c r="I84" s="164" t="inlineStr">
        <is>
          <t>Mike CTO</t>
        </is>
      </c>
      <c r="J84" s="164" t="inlineStr">
        <is>
          <t>Male</t>
        </is>
      </c>
      <c r="K84" s="117" t="n">
        <v>46</v>
      </c>
      <c r="L84" s="165" t="n">
        <v>3</v>
      </c>
      <c r="M84" s="120" t="n">
        <v>0.855</v>
      </c>
      <c r="N84" s="117" t="n">
        <v>8</v>
      </c>
      <c r="O84" s="117" t="n">
        <v>0</v>
      </c>
      <c r="P84" s="164" t="inlineStr">
        <is>
          <t>Active</t>
        </is>
      </c>
      <c r="Q84" s="164" t="inlineStr">
        <is>
          <t>2023-06-07</t>
        </is>
      </c>
      <c r="R84" s="164" t="inlineStr">
        <is>
          <t>Austin</t>
        </is>
      </c>
      <c r="S84" s="164" t="inlineStr">
        <is>
          <t>Bachelor's</t>
        </is>
      </c>
      <c r="T84" s="164" t="inlineStr">
        <is>
          <t>Standard performer</t>
        </is>
      </c>
    </row>
    <row r="85" ht="15" customHeight="1" s="90">
      <c r="A85" s="123" t="inlineStr">
        <is>
          <t>EMP1083</t>
        </is>
      </c>
      <c r="B85" s="123" t="inlineStr">
        <is>
          <t>Donna Brown</t>
        </is>
      </c>
      <c r="C85" s="123" t="inlineStr">
        <is>
          <t>IT Support</t>
        </is>
      </c>
      <c r="D85" s="123" t="inlineStr">
        <is>
          <t>Systems Admin</t>
        </is>
      </c>
      <c r="E85" s="126" t="n">
        <v>11.9</v>
      </c>
      <c r="F85" s="125" t="n">
        <v>73000</v>
      </c>
      <c r="G85" s="125" t="n">
        <v>11500</v>
      </c>
      <c r="H85" s="125">
        <f>F85+G85</f>
        <v/>
      </c>
      <c r="I85" s="166" t="inlineStr">
        <is>
          <t>Rex VP-Mktg</t>
        </is>
      </c>
      <c r="J85" s="166" t="inlineStr">
        <is>
          <t>Female</t>
        </is>
      </c>
      <c r="K85" s="124" t="n">
        <v>40</v>
      </c>
      <c r="L85" s="167" t="n">
        <v>4</v>
      </c>
      <c r="M85" s="127" t="n">
        <v>0.902</v>
      </c>
      <c r="N85" s="124" t="n">
        <v>67</v>
      </c>
      <c r="O85" s="124" t="n">
        <v>0</v>
      </c>
      <c r="P85" s="166" t="inlineStr">
        <is>
          <t>Active</t>
        </is>
      </c>
      <c r="Q85" s="166" t="inlineStr">
        <is>
          <t>2013-07-23</t>
        </is>
      </c>
      <c r="R85" s="166" t="inlineStr">
        <is>
          <t>Boston</t>
        </is>
      </c>
      <c r="S85" s="166" t="inlineStr">
        <is>
          <t>Bachelor's</t>
        </is>
      </c>
      <c r="T85" s="166" t="inlineStr">
        <is>
          <t>High potential</t>
        </is>
      </c>
    </row>
    <row r="86" ht="15" customHeight="1" s="90">
      <c r="A86" s="116" t="inlineStr">
        <is>
          <t>EMP1084</t>
        </is>
      </c>
      <c r="B86" s="116" t="inlineStr">
        <is>
          <t>Kevin Jones</t>
        </is>
      </c>
      <c r="C86" s="116" t="inlineStr">
        <is>
          <t>Finance</t>
        </is>
      </c>
      <c r="D86" s="116" t="inlineStr">
        <is>
          <t>Treasurer</t>
        </is>
      </c>
      <c r="E86" s="119" t="n">
        <v>6.4</v>
      </c>
      <c r="F86" s="118" t="n">
        <v>108000</v>
      </c>
      <c r="G86" s="118" t="n">
        <v>8000</v>
      </c>
      <c r="H86" s="118">
        <f>F86+G86</f>
        <v/>
      </c>
      <c r="I86" s="164" t="inlineStr">
        <is>
          <t>Mike CTO</t>
        </is>
      </c>
      <c r="J86" s="164" t="inlineStr">
        <is>
          <t>Non-binary</t>
        </is>
      </c>
      <c r="K86" s="117" t="n">
        <v>32</v>
      </c>
      <c r="L86" s="165" t="n">
        <v>4</v>
      </c>
      <c r="M86" s="120" t="n">
        <v>0.946</v>
      </c>
      <c r="N86" s="117" t="n">
        <v>10</v>
      </c>
      <c r="O86" s="117" t="n">
        <v>3</v>
      </c>
      <c r="P86" s="164" t="inlineStr">
        <is>
          <t>Active</t>
        </is>
      </c>
      <c r="Q86" s="164" t="inlineStr">
        <is>
          <t>2022-07-26</t>
        </is>
      </c>
      <c r="R86" s="164" t="inlineStr">
        <is>
          <t>Boston</t>
        </is>
      </c>
      <c r="S86" s="164" t="inlineStr">
        <is>
          <t>Master's</t>
        </is>
      </c>
      <c r="T86" s="164" t="inlineStr">
        <is>
          <t>High potential</t>
        </is>
      </c>
    </row>
    <row r="87" ht="15" customHeight="1" s="90">
      <c r="A87" s="123" t="inlineStr">
        <is>
          <t>EMP1085</t>
        </is>
      </c>
      <c r="B87" s="123" t="inlineStr">
        <is>
          <t>Michelle Garcia</t>
        </is>
      </c>
      <c r="C87" s="123" t="inlineStr">
        <is>
          <t>Customer Success</t>
        </is>
      </c>
      <c r="D87" s="123" t="inlineStr">
        <is>
          <t>Support Engineer</t>
        </is>
      </c>
      <c r="E87" s="126" t="n">
        <v>4.3</v>
      </c>
      <c r="F87" s="125" t="n">
        <v>64000</v>
      </c>
      <c r="G87" s="125" t="n">
        <v>10000</v>
      </c>
      <c r="H87" s="125">
        <f>F87+G87</f>
        <v/>
      </c>
      <c r="I87" s="166" t="inlineStr">
        <is>
          <t>Mike CTO</t>
        </is>
      </c>
      <c r="J87" s="166" t="inlineStr">
        <is>
          <t>Male</t>
        </is>
      </c>
      <c r="K87" s="124" t="n">
        <v>39</v>
      </c>
      <c r="L87" s="167" t="n">
        <v>3</v>
      </c>
      <c r="M87" s="127" t="n">
        <v>0.852</v>
      </c>
      <c r="N87" s="124" t="n">
        <v>60</v>
      </c>
      <c r="O87" s="124" t="n">
        <v>4</v>
      </c>
      <c r="P87" s="166" t="inlineStr">
        <is>
          <t>Active</t>
        </is>
      </c>
      <c r="Q87" s="166" t="inlineStr">
        <is>
          <t>2017-06-29</t>
        </is>
      </c>
      <c r="R87" s="166" t="inlineStr">
        <is>
          <t>London</t>
        </is>
      </c>
      <c r="S87" s="166" t="inlineStr">
        <is>
          <t>Bachelor's</t>
        </is>
      </c>
      <c r="T87" s="166" t="inlineStr">
        <is>
          <t>Standard performer</t>
        </is>
      </c>
    </row>
    <row r="88" ht="15" customHeight="1" s="90">
      <c r="A88" s="116" t="inlineStr">
        <is>
          <t>EMP1086</t>
        </is>
      </c>
      <c r="B88" s="116" t="inlineStr">
        <is>
          <t>Brian Miller</t>
        </is>
      </c>
      <c r="C88" s="116" t="inlineStr">
        <is>
          <t>IT Support</t>
        </is>
      </c>
      <c r="D88" s="116" t="inlineStr">
        <is>
          <t>IT Director</t>
        </is>
      </c>
      <c r="E88" s="119" t="n">
        <v>0.8</v>
      </c>
      <c r="F88" s="118" t="n">
        <v>61000</v>
      </c>
      <c r="G88" s="118" t="n">
        <v>10500</v>
      </c>
      <c r="H88" s="118">
        <f>F88+G88</f>
        <v/>
      </c>
      <c r="I88" s="164" t="inlineStr">
        <is>
          <t>Jane CEO</t>
        </is>
      </c>
      <c r="J88" s="164" t="inlineStr">
        <is>
          <t>Non-binary</t>
        </is>
      </c>
      <c r="K88" s="117" t="n">
        <v>38</v>
      </c>
      <c r="L88" s="165" t="n">
        <v>4</v>
      </c>
      <c r="M88" s="120" t="n">
        <v>0.993</v>
      </c>
      <c r="N88" s="117" t="n">
        <v>68</v>
      </c>
      <c r="O88" s="117" t="n">
        <v>5</v>
      </c>
      <c r="P88" s="164" t="inlineStr">
        <is>
          <t>Active</t>
        </is>
      </c>
      <c r="Q88" s="164" t="inlineStr">
        <is>
          <t>2023-12-15</t>
        </is>
      </c>
      <c r="R88" s="164" t="inlineStr">
        <is>
          <t>Toronto</t>
        </is>
      </c>
      <c r="S88" s="164" t="inlineStr">
        <is>
          <t>Bachelor's</t>
        </is>
      </c>
      <c r="T88" s="164" t="inlineStr">
        <is>
          <t>High potential</t>
        </is>
      </c>
    </row>
    <row r="89" ht="15" customHeight="1" s="90">
      <c r="A89" s="123" t="inlineStr">
        <is>
          <t>EMP1087</t>
        </is>
      </c>
      <c r="B89" s="123" t="inlineStr">
        <is>
          <t>Carol Davis</t>
        </is>
      </c>
      <c r="C89" s="123" t="inlineStr">
        <is>
          <t>Operations</t>
        </is>
      </c>
      <c r="D89" s="123" t="inlineStr">
        <is>
          <t>Supply Chain Lead</t>
        </is>
      </c>
      <c r="E89" s="126" t="n">
        <v>7.7</v>
      </c>
      <c r="F89" s="125" t="n">
        <v>61000</v>
      </c>
      <c r="G89" s="125" t="n">
        <v>8500</v>
      </c>
      <c r="H89" s="125">
        <f>F89+G89</f>
        <v/>
      </c>
      <c r="I89" s="166" t="inlineStr">
        <is>
          <t>Jane CEO</t>
        </is>
      </c>
      <c r="J89" s="166" t="inlineStr">
        <is>
          <t>Female</t>
        </is>
      </c>
      <c r="K89" s="124" t="n">
        <v>31</v>
      </c>
      <c r="L89" s="167" t="n">
        <v>2</v>
      </c>
      <c r="M89" s="127" t="n">
        <v>0.958</v>
      </c>
      <c r="N89" s="124" t="n">
        <v>74</v>
      </c>
      <c r="O89" s="124" t="n">
        <v>4</v>
      </c>
      <c r="P89" s="166" t="inlineStr">
        <is>
          <t>Active</t>
        </is>
      </c>
      <c r="Q89" s="166" t="inlineStr">
        <is>
          <t>2015-06-06</t>
        </is>
      </c>
      <c r="R89" s="166" t="inlineStr">
        <is>
          <t>San Francisco</t>
        </is>
      </c>
      <c r="S89" s="166" t="inlineStr">
        <is>
          <t>PhD</t>
        </is>
      </c>
      <c r="T89" s="166" t="inlineStr">
        <is>
          <t>PIP recommended</t>
        </is>
      </c>
    </row>
    <row r="90" ht="15" customHeight="1" s="90">
      <c r="A90" s="116" t="inlineStr">
        <is>
          <t>EMP1088</t>
        </is>
      </c>
      <c r="B90" s="116" t="inlineStr">
        <is>
          <t>George Wilson</t>
        </is>
      </c>
      <c r="C90" s="116" t="inlineStr">
        <is>
          <t>R&amp;D</t>
        </is>
      </c>
      <c r="D90" s="116" t="inlineStr">
        <is>
          <t>R&amp;D Director</t>
        </is>
      </c>
      <c r="E90" s="119" t="n">
        <v>5.1</v>
      </c>
      <c r="F90" s="118" t="n">
        <v>104000</v>
      </c>
      <c r="G90" s="118" t="n">
        <v>10500</v>
      </c>
      <c r="H90" s="118">
        <f>F90+G90</f>
        <v/>
      </c>
      <c r="I90" s="164" t="inlineStr">
        <is>
          <t>Rex VP-Mktg</t>
        </is>
      </c>
      <c r="J90" s="164" t="inlineStr">
        <is>
          <t>Female</t>
        </is>
      </c>
      <c r="K90" s="117" t="n">
        <v>51</v>
      </c>
      <c r="L90" s="165" t="n">
        <v>3</v>
      </c>
      <c r="M90" s="120" t="n">
        <v>0.886</v>
      </c>
      <c r="N90" s="117" t="n">
        <v>14</v>
      </c>
      <c r="O90" s="117" t="n">
        <v>3</v>
      </c>
      <c r="P90" s="164" t="inlineStr">
        <is>
          <t>Active</t>
        </is>
      </c>
      <c r="Q90" s="164" t="inlineStr">
        <is>
          <t>2013-07-05</t>
        </is>
      </c>
      <c r="R90" s="164" t="inlineStr">
        <is>
          <t>London</t>
        </is>
      </c>
      <c r="S90" s="164" t="inlineStr">
        <is>
          <t>PhD</t>
        </is>
      </c>
      <c r="T90" s="164" t="inlineStr">
        <is>
          <t>Standard performer</t>
        </is>
      </c>
    </row>
    <row r="91" ht="15" customHeight="1" s="90">
      <c r="A91" s="123" t="inlineStr">
        <is>
          <t>EMP1089</t>
        </is>
      </c>
      <c r="B91" s="123" t="inlineStr">
        <is>
          <t>Amanda Taylor</t>
        </is>
      </c>
      <c r="C91" s="123" t="inlineStr">
        <is>
          <t>Operations</t>
        </is>
      </c>
      <c r="D91" s="123" t="inlineStr">
        <is>
          <t>Ops Director</t>
        </is>
      </c>
      <c r="E91" s="126" t="n">
        <v>7.8</v>
      </c>
      <c r="F91" s="125" t="n">
        <v>93000</v>
      </c>
      <c r="G91" s="125" t="n">
        <v>4500</v>
      </c>
      <c r="H91" s="125">
        <f>F91+G91</f>
        <v/>
      </c>
      <c r="I91" s="166" t="inlineStr">
        <is>
          <t>Rex VP-Mktg</t>
        </is>
      </c>
      <c r="J91" s="166" t="inlineStr">
        <is>
          <t>Female</t>
        </is>
      </c>
      <c r="K91" s="124" t="n">
        <v>33</v>
      </c>
      <c r="L91" s="167" t="n">
        <v>2</v>
      </c>
      <c r="M91" s="127" t="n">
        <v>0.893</v>
      </c>
      <c r="N91" s="124" t="n">
        <v>42</v>
      </c>
      <c r="O91" s="124" t="n">
        <v>1</v>
      </c>
      <c r="P91" s="166" t="inlineStr">
        <is>
          <t>Active</t>
        </is>
      </c>
      <c r="Q91" s="166" t="inlineStr">
        <is>
          <t>2014-09-29</t>
        </is>
      </c>
      <c r="R91" s="166" t="inlineStr">
        <is>
          <t>Remote</t>
        </is>
      </c>
      <c r="S91" s="166" t="inlineStr">
        <is>
          <t>Master's</t>
        </is>
      </c>
      <c r="T91" s="166" t="inlineStr">
        <is>
          <t>PIP recommended</t>
        </is>
      </c>
    </row>
    <row r="92" ht="15" customHeight="1" s="90">
      <c r="A92" s="116" t="inlineStr">
        <is>
          <t>EMP1090</t>
        </is>
      </c>
      <c r="B92" s="116" t="inlineStr">
        <is>
          <t>Edward Anderson</t>
        </is>
      </c>
      <c r="C92" s="116" t="inlineStr">
        <is>
          <t>Operations</t>
        </is>
      </c>
      <c r="D92" s="116" t="inlineStr">
        <is>
          <t>Process Analyst</t>
        </is>
      </c>
      <c r="E92" s="119" t="n">
        <v>10.9</v>
      </c>
      <c r="F92" s="118" t="n">
        <v>74000</v>
      </c>
      <c r="G92" s="118" t="n">
        <v>5000</v>
      </c>
      <c r="H92" s="118">
        <f>F92+G92</f>
        <v/>
      </c>
      <c r="I92" s="164" t="inlineStr">
        <is>
          <t>Ben VP-CS</t>
        </is>
      </c>
      <c r="J92" s="164" t="inlineStr">
        <is>
          <t>Male</t>
        </is>
      </c>
      <c r="K92" s="117" t="n">
        <v>58</v>
      </c>
      <c r="L92" s="165" t="n">
        <v>4</v>
      </c>
      <c r="M92" s="120" t="n">
        <v>0.998</v>
      </c>
      <c r="N92" s="117" t="n">
        <v>46</v>
      </c>
      <c r="O92" s="117" t="n">
        <v>4</v>
      </c>
      <c r="P92" s="164" t="inlineStr">
        <is>
          <t>Active</t>
        </is>
      </c>
      <c r="Q92" s="164" t="inlineStr">
        <is>
          <t>2019-12-08</t>
        </is>
      </c>
      <c r="R92" s="164" t="inlineStr">
        <is>
          <t>London</t>
        </is>
      </c>
      <c r="S92" s="164" t="inlineStr">
        <is>
          <t>PhD</t>
        </is>
      </c>
      <c r="T92" s="164" t="inlineStr">
        <is>
          <t>High potential</t>
        </is>
      </c>
    </row>
    <row r="93" ht="15" customHeight="1" s="90">
      <c r="A93" s="123" t="inlineStr">
        <is>
          <t>EMP1091</t>
        </is>
      </c>
      <c r="B93" s="123" t="inlineStr">
        <is>
          <t>Melissa Thomas</t>
        </is>
      </c>
      <c r="C93" s="123" t="inlineStr">
        <is>
          <t>Operations</t>
        </is>
      </c>
      <c r="D93" s="123" t="inlineStr">
        <is>
          <t>Supply Chain Lead</t>
        </is>
      </c>
      <c r="E93" s="126" t="n">
        <v>3.4</v>
      </c>
      <c r="F93" s="125" t="n">
        <v>78000</v>
      </c>
      <c r="G93" s="125" t="n">
        <v>8000</v>
      </c>
      <c r="H93" s="125">
        <f>F93+G93</f>
        <v/>
      </c>
      <c r="I93" s="166" t="inlineStr">
        <is>
          <t>Mike CTO</t>
        </is>
      </c>
      <c r="J93" s="166" t="inlineStr">
        <is>
          <t>Male</t>
        </is>
      </c>
      <c r="K93" s="124" t="n">
        <v>58</v>
      </c>
      <c r="L93" s="167" t="n">
        <v>3</v>
      </c>
      <c r="M93" s="127" t="n">
        <v>0.927</v>
      </c>
      <c r="N93" s="124" t="n">
        <v>19</v>
      </c>
      <c r="O93" s="124" t="n">
        <v>5</v>
      </c>
      <c r="P93" s="166" t="inlineStr">
        <is>
          <t>Active</t>
        </is>
      </c>
      <c r="Q93" s="166" t="inlineStr">
        <is>
          <t>2014-11-19</t>
        </is>
      </c>
      <c r="R93" s="166" t="inlineStr">
        <is>
          <t>Boston</t>
        </is>
      </c>
      <c r="S93" s="166" t="inlineStr">
        <is>
          <t>PhD</t>
        </is>
      </c>
      <c r="T93" s="166" t="inlineStr">
        <is>
          <t>Standard performer</t>
        </is>
      </c>
    </row>
    <row r="94" ht="15" customHeight="1" s="90">
      <c r="A94" s="116" t="inlineStr">
        <is>
          <t>EMP1092</t>
        </is>
      </c>
      <c r="B94" s="116" t="inlineStr">
        <is>
          <t>Ronald Jackson</t>
        </is>
      </c>
      <c r="C94" s="116" t="inlineStr">
        <is>
          <t>Engineering</t>
        </is>
      </c>
      <c r="D94" s="116" t="inlineStr">
        <is>
          <t>QA Engineer</t>
        </is>
      </c>
      <c r="E94" s="119" t="n">
        <v>9.4</v>
      </c>
      <c r="F94" s="118" t="n">
        <v>86000</v>
      </c>
      <c r="G94" s="118" t="n">
        <v>12000</v>
      </c>
      <c r="H94" s="118">
        <f>F94+G94</f>
        <v/>
      </c>
      <c r="I94" s="164" t="inlineStr">
        <is>
          <t>Rex VP-Mktg</t>
        </is>
      </c>
      <c r="J94" s="164" t="inlineStr">
        <is>
          <t>Non-binary</t>
        </is>
      </c>
      <c r="K94" s="117" t="n">
        <v>33</v>
      </c>
      <c r="L94" s="165" t="n">
        <v>2</v>
      </c>
      <c r="M94" s="120" t="n">
        <v>0.855</v>
      </c>
      <c r="N94" s="117" t="n">
        <v>19</v>
      </c>
      <c r="O94" s="117" t="n">
        <v>0</v>
      </c>
      <c r="P94" s="164" t="inlineStr">
        <is>
          <t>Resigned</t>
        </is>
      </c>
      <c r="Q94" s="164" t="inlineStr">
        <is>
          <t>2017-06-19</t>
        </is>
      </c>
      <c r="R94" s="164" t="inlineStr">
        <is>
          <t>Chicago</t>
        </is>
      </c>
      <c r="S94" s="164" t="inlineStr">
        <is>
          <t>Associate's</t>
        </is>
      </c>
      <c r="T94" s="164" t="inlineStr">
        <is>
          <t>PIP recommended</t>
        </is>
      </c>
    </row>
    <row r="95" ht="15" customHeight="1" s="90">
      <c r="A95" s="123" t="inlineStr">
        <is>
          <t>EMP1093</t>
        </is>
      </c>
      <c r="B95" s="123" t="inlineStr">
        <is>
          <t>Deborah White</t>
        </is>
      </c>
      <c r="C95" s="123" t="inlineStr">
        <is>
          <t>Product</t>
        </is>
      </c>
      <c r="D95" s="123" t="inlineStr">
        <is>
          <t>Product Designer</t>
        </is>
      </c>
      <c r="E95" s="126" t="n">
        <v>2</v>
      </c>
      <c r="F95" s="125" t="n">
        <v>92000</v>
      </c>
      <c r="G95" s="125" t="n">
        <v>6000</v>
      </c>
      <c r="H95" s="125">
        <f>F95+G95</f>
        <v/>
      </c>
      <c r="I95" s="166" t="inlineStr">
        <is>
          <t>Sara CFO</t>
        </is>
      </c>
      <c r="J95" s="166" t="inlineStr">
        <is>
          <t>Male</t>
        </is>
      </c>
      <c r="K95" s="124" t="n">
        <v>46</v>
      </c>
      <c r="L95" s="167" t="n">
        <v>3</v>
      </c>
      <c r="M95" s="127" t="n">
        <v>0.956</v>
      </c>
      <c r="N95" s="124" t="n">
        <v>33</v>
      </c>
      <c r="O95" s="124" t="n">
        <v>5</v>
      </c>
      <c r="P95" s="166" t="inlineStr">
        <is>
          <t>Active</t>
        </is>
      </c>
      <c r="Q95" s="166" t="inlineStr">
        <is>
          <t>2020-04-17</t>
        </is>
      </c>
      <c r="R95" s="166" t="inlineStr">
        <is>
          <t>London</t>
        </is>
      </c>
      <c r="S95" s="166" t="inlineStr">
        <is>
          <t>Bachelor's</t>
        </is>
      </c>
      <c r="T95" s="166" t="inlineStr">
        <is>
          <t>Standard performer</t>
        </is>
      </c>
    </row>
    <row r="96" ht="15" customHeight="1" s="90">
      <c r="A96" s="116" t="inlineStr">
        <is>
          <t>EMP1094</t>
        </is>
      </c>
      <c r="B96" s="116" t="inlineStr">
        <is>
          <t>Timothy Harris</t>
        </is>
      </c>
      <c r="C96" s="116" t="inlineStr">
        <is>
          <t>Marketing</t>
        </is>
      </c>
      <c r="D96" s="116" t="inlineStr">
        <is>
          <t>Content Manager</t>
        </is>
      </c>
      <c r="E96" s="119" t="n">
        <v>3.3</v>
      </c>
      <c r="F96" s="118" t="n">
        <v>66000</v>
      </c>
      <c r="G96" s="118" t="n">
        <v>8000</v>
      </c>
      <c r="H96" s="118">
        <f>F96+G96</f>
        <v/>
      </c>
      <c r="I96" s="164" t="inlineStr">
        <is>
          <t>Jane CEO</t>
        </is>
      </c>
      <c r="J96" s="164" t="inlineStr">
        <is>
          <t>Female</t>
        </is>
      </c>
      <c r="K96" s="117" t="n">
        <v>51</v>
      </c>
      <c r="L96" s="165" t="n">
        <v>3</v>
      </c>
      <c r="M96" s="120" t="n">
        <v>0.97</v>
      </c>
      <c r="N96" s="117" t="n">
        <v>46</v>
      </c>
      <c r="O96" s="117" t="n">
        <v>3</v>
      </c>
      <c r="P96" s="164" t="inlineStr">
        <is>
          <t>Active</t>
        </is>
      </c>
      <c r="Q96" s="164" t="inlineStr">
        <is>
          <t>2023-05-29</t>
        </is>
      </c>
      <c r="R96" s="164" t="inlineStr">
        <is>
          <t>Austin</t>
        </is>
      </c>
      <c r="S96" s="164" t="inlineStr">
        <is>
          <t>Associate's</t>
        </is>
      </c>
      <c r="T96" s="164" t="inlineStr">
        <is>
          <t>Standard performer</t>
        </is>
      </c>
    </row>
    <row r="97" ht="15" customHeight="1" s="90">
      <c r="A97" s="123" t="inlineStr">
        <is>
          <t>EMP1095</t>
        </is>
      </c>
      <c r="B97" s="123" t="inlineStr">
        <is>
          <t>Stephanie Martin</t>
        </is>
      </c>
      <c r="C97" s="123" t="inlineStr">
        <is>
          <t>Engineering</t>
        </is>
      </c>
      <c r="D97" s="123" t="inlineStr">
        <is>
          <t>QA Engineer</t>
        </is>
      </c>
      <c r="E97" s="126" t="n">
        <v>3.6</v>
      </c>
      <c r="F97" s="125" t="n">
        <v>120000</v>
      </c>
      <c r="G97" s="125" t="n">
        <v>6000</v>
      </c>
      <c r="H97" s="125">
        <f>F97+G97</f>
        <v/>
      </c>
      <c r="I97" s="166" t="inlineStr">
        <is>
          <t>Lisa VP-HR</t>
        </is>
      </c>
      <c r="J97" s="166" t="inlineStr">
        <is>
          <t>Female</t>
        </is>
      </c>
      <c r="K97" s="124" t="n">
        <v>32</v>
      </c>
      <c r="L97" s="167" t="n">
        <v>5</v>
      </c>
      <c r="M97" s="127" t="n">
        <v>0.896</v>
      </c>
      <c r="N97" s="124" t="n">
        <v>80</v>
      </c>
      <c r="O97" s="124" t="n">
        <v>3</v>
      </c>
      <c r="P97" s="166" t="inlineStr">
        <is>
          <t>Active</t>
        </is>
      </c>
      <c r="Q97" s="166" t="inlineStr">
        <is>
          <t>2019-08-21</t>
        </is>
      </c>
      <c r="R97" s="166" t="inlineStr">
        <is>
          <t>Boston</t>
        </is>
      </c>
      <c r="S97" s="166" t="inlineStr">
        <is>
          <t>PhD</t>
        </is>
      </c>
      <c r="T97" s="166" t="inlineStr">
        <is>
          <t>High potential</t>
        </is>
      </c>
    </row>
    <row r="98" ht="15" customHeight="1" s="90">
      <c r="A98" s="116" t="inlineStr">
        <is>
          <t>EMP1096</t>
        </is>
      </c>
      <c r="B98" s="116" t="inlineStr">
        <is>
          <t>Jason Thompson</t>
        </is>
      </c>
      <c r="C98" s="116" t="inlineStr">
        <is>
          <t>Engineering</t>
        </is>
      </c>
      <c r="D98" s="116" t="inlineStr">
        <is>
          <t>QA Engineer</t>
        </is>
      </c>
      <c r="E98" s="119" t="n">
        <v>2.4</v>
      </c>
      <c r="F98" s="118" t="n">
        <v>109000</v>
      </c>
      <c r="G98" s="118" t="n">
        <v>16000</v>
      </c>
      <c r="H98" s="118">
        <f>F98+G98</f>
        <v/>
      </c>
      <c r="I98" s="164" t="inlineStr">
        <is>
          <t>Tom VP-Sales</t>
        </is>
      </c>
      <c r="J98" s="164" t="inlineStr">
        <is>
          <t>Male</t>
        </is>
      </c>
      <c r="K98" s="117" t="n">
        <v>47</v>
      </c>
      <c r="L98" s="165" t="n">
        <v>3</v>
      </c>
      <c r="M98" s="120" t="n">
        <v>0.829</v>
      </c>
      <c r="N98" s="117" t="n">
        <v>33</v>
      </c>
      <c r="O98" s="117" t="n">
        <v>5</v>
      </c>
      <c r="P98" s="164" t="inlineStr">
        <is>
          <t>Active</t>
        </is>
      </c>
      <c r="Q98" s="164" t="inlineStr">
        <is>
          <t>2023-05-02</t>
        </is>
      </c>
      <c r="R98" s="164" t="inlineStr">
        <is>
          <t>Boston</t>
        </is>
      </c>
      <c r="S98" s="164" t="inlineStr">
        <is>
          <t>PhD</t>
        </is>
      </c>
      <c r="T98" s="164" t="inlineStr">
        <is>
          <t>Standard performer</t>
        </is>
      </c>
    </row>
    <row r="99" ht="15" customHeight="1" s="90">
      <c r="A99" s="123" t="inlineStr">
        <is>
          <t>EMP1097</t>
        </is>
      </c>
      <c r="B99" s="123" t="inlineStr">
        <is>
          <t>Rebecca Young</t>
        </is>
      </c>
      <c r="C99" s="123" t="inlineStr">
        <is>
          <t>Customer Success</t>
        </is>
      </c>
      <c r="D99" s="123" t="inlineStr">
        <is>
          <t>CS Director</t>
        </is>
      </c>
      <c r="E99" s="126" t="n">
        <v>5.6</v>
      </c>
      <c r="F99" s="125" t="n">
        <v>81000</v>
      </c>
      <c r="G99" s="125" t="n">
        <v>10500</v>
      </c>
      <c r="H99" s="125">
        <f>F99+G99</f>
        <v/>
      </c>
      <c r="I99" s="166" t="inlineStr">
        <is>
          <t>Tom VP-Sales</t>
        </is>
      </c>
      <c r="J99" s="166" t="inlineStr">
        <is>
          <t>Non-binary</t>
        </is>
      </c>
      <c r="K99" s="124" t="n">
        <v>31</v>
      </c>
      <c r="L99" s="167" t="n">
        <v>4</v>
      </c>
      <c r="M99" s="127" t="n">
        <v>0.949</v>
      </c>
      <c r="N99" s="124" t="n">
        <v>43</v>
      </c>
      <c r="O99" s="124" t="n">
        <v>1</v>
      </c>
      <c r="P99" s="166" t="inlineStr">
        <is>
          <t>Active</t>
        </is>
      </c>
      <c r="Q99" s="166" t="inlineStr">
        <is>
          <t>2013-09-22</t>
        </is>
      </c>
      <c r="R99" s="166" t="inlineStr">
        <is>
          <t>London</t>
        </is>
      </c>
      <c r="S99" s="166" t="inlineStr">
        <is>
          <t>Associate's</t>
        </is>
      </c>
      <c r="T99" s="166" t="inlineStr">
        <is>
          <t>High potential</t>
        </is>
      </c>
    </row>
    <row r="100" ht="15" customHeight="1" s="90">
      <c r="A100" s="116" t="inlineStr">
        <is>
          <t>EMP1098</t>
        </is>
      </c>
      <c r="B100" s="116" t="inlineStr">
        <is>
          <t>Jeffrey Lee</t>
        </is>
      </c>
      <c r="C100" s="116" t="inlineStr">
        <is>
          <t>Customer Success</t>
        </is>
      </c>
      <c r="D100" s="116" t="inlineStr">
        <is>
          <t>Onboarding Lead</t>
        </is>
      </c>
      <c r="E100" s="119" t="n">
        <v>6.7</v>
      </c>
      <c r="F100" s="118" t="n">
        <v>64000</v>
      </c>
      <c r="G100" s="118" t="n">
        <v>3500</v>
      </c>
      <c r="H100" s="118">
        <f>F100+G100</f>
        <v/>
      </c>
      <c r="I100" s="164" t="inlineStr">
        <is>
          <t>Kat VP-Prod</t>
        </is>
      </c>
      <c r="J100" s="164" t="inlineStr">
        <is>
          <t>Non-binary</t>
        </is>
      </c>
      <c r="K100" s="117" t="n">
        <v>34</v>
      </c>
      <c r="L100" s="165" t="n">
        <v>5</v>
      </c>
      <c r="M100" s="120" t="n">
        <v>0.876</v>
      </c>
      <c r="N100" s="117" t="n">
        <v>11</v>
      </c>
      <c r="O100" s="117" t="n">
        <v>2</v>
      </c>
      <c r="P100" s="164" t="inlineStr">
        <is>
          <t>Active</t>
        </is>
      </c>
      <c r="Q100" s="164" t="inlineStr">
        <is>
          <t>2018-06-11</t>
        </is>
      </c>
      <c r="R100" s="164" t="inlineStr">
        <is>
          <t>San Francisco</t>
        </is>
      </c>
      <c r="S100" s="164" t="inlineStr">
        <is>
          <t>Bachelor's</t>
        </is>
      </c>
      <c r="T100" s="164" t="inlineStr">
        <is>
          <t>High potential</t>
        </is>
      </c>
    </row>
    <row r="101" ht="15" customHeight="1" s="90">
      <c r="A101" s="123" t="inlineStr">
        <is>
          <t>EMP1099</t>
        </is>
      </c>
      <c r="B101" s="123" t="inlineStr">
        <is>
          <t>Laura Walker</t>
        </is>
      </c>
      <c r="C101" s="123" t="inlineStr">
        <is>
          <t>Sales</t>
        </is>
      </c>
      <c r="D101" s="123" t="inlineStr">
        <is>
          <t>Sales Manager</t>
        </is>
      </c>
      <c r="E101" s="126" t="n">
        <v>4.6</v>
      </c>
      <c r="F101" s="125" t="n">
        <v>100000</v>
      </c>
      <c r="G101" s="125" t="n">
        <v>18000</v>
      </c>
      <c r="H101" s="125">
        <f>F101+G101</f>
        <v/>
      </c>
      <c r="I101" s="166" t="inlineStr">
        <is>
          <t>Jane CEO</t>
        </is>
      </c>
      <c r="J101" s="166" t="inlineStr">
        <is>
          <t>Male</t>
        </is>
      </c>
      <c r="K101" s="124" t="n">
        <v>51</v>
      </c>
      <c r="L101" s="167" t="n">
        <v>2</v>
      </c>
      <c r="M101" s="127" t="n">
        <v>0.847</v>
      </c>
      <c r="N101" s="124" t="n">
        <v>74</v>
      </c>
      <c r="O101" s="124" t="n">
        <v>3</v>
      </c>
      <c r="P101" s="166" t="inlineStr">
        <is>
          <t>Active</t>
        </is>
      </c>
      <c r="Q101" s="166" t="inlineStr">
        <is>
          <t>2023-04-15</t>
        </is>
      </c>
      <c r="R101" s="166" t="inlineStr">
        <is>
          <t>London</t>
        </is>
      </c>
      <c r="S101" s="166" t="inlineStr">
        <is>
          <t>Bachelor's</t>
        </is>
      </c>
      <c r="T101" s="166" t="inlineStr">
        <is>
          <t>PIP recommended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89" min="1" max="1"/>
    <col width="12" customWidth="1" style="89" min="2" max="4"/>
    <col width="13" customWidth="1" style="89" min="5" max="5"/>
    <col width="10" customWidth="1" style="89" min="6" max="6"/>
    <col width="14" customWidth="1" style="89" min="7" max="7"/>
    <col width="15" customWidth="1" style="89" min="8" max="8"/>
    <col width="12" customWidth="1" style="89" min="9" max="9"/>
    <col width="15" customWidth="1" style="89" min="10" max="10"/>
  </cols>
  <sheetData>
    <row r="1" ht="27.75" customHeight="1" s="90">
      <c r="A1" s="168" t="inlineStr">
        <is>
          <t>COMPENSATION ANALYSIS  |  Pay Equity &amp; Band Review</t>
        </is>
      </c>
    </row>
    <row r="2" ht="27.75" customHeight="1" s="90">
      <c r="A2" s="115" t="inlineStr">
        <is>
          <t>Department</t>
        </is>
      </c>
      <c r="B2" s="115" t="inlineStr">
        <is>
          <t>Min Salary</t>
        </is>
      </c>
      <c r="C2" s="115" t="inlineStr">
        <is>
          <t>Max Salary</t>
        </is>
      </c>
      <c r="D2" s="115" t="inlineStr">
        <is>
          <t>Avg Salary</t>
        </is>
      </c>
      <c r="E2" s="115" t="inlineStr">
        <is>
          <t>Median Salary</t>
        </is>
      </c>
      <c r="F2" s="115" t="inlineStr">
        <is>
          <t>Std Dev</t>
        </is>
      </c>
      <c r="G2" s="115" t="inlineStr">
        <is>
          <t>Pay Gap (M/F)</t>
        </is>
      </c>
      <c r="H2" s="115" t="inlineStr">
        <is>
          <t>Budget Allocated</t>
        </is>
      </c>
      <c r="I2" s="115" t="inlineStr">
        <is>
          <t>Budget Used</t>
        </is>
      </c>
      <c r="J2" s="115" t="inlineStr">
        <is>
          <t>Budget Remaining</t>
        </is>
      </c>
    </row>
    <row r="3" ht="15.75" customHeight="1" s="90">
      <c r="A3" s="116" t="inlineStr">
        <is>
          <t>Engineering</t>
        </is>
      </c>
      <c r="B3" s="118" t="n">
        <v>65000</v>
      </c>
      <c r="C3" s="118" t="n">
        <v>145000</v>
      </c>
      <c r="D3" s="118" t="n">
        <v>98000</v>
      </c>
      <c r="E3" s="118" t="n">
        <v>95000</v>
      </c>
      <c r="F3" s="118" t="n">
        <v>18500</v>
      </c>
      <c r="G3" s="169" t="n">
        <v>0.96</v>
      </c>
      <c r="H3" s="118" t="n">
        <v>2200000</v>
      </c>
      <c r="I3" s="118" t="n">
        <v>2200000</v>
      </c>
      <c r="J3" s="170">
        <f>H3-I3</f>
        <v/>
      </c>
    </row>
    <row r="4" ht="15.75" customHeight="1" s="90">
      <c r="A4" s="123" t="inlineStr">
        <is>
          <t>Marketing</t>
        </is>
      </c>
      <c r="B4" s="125" t="n">
        <v>55000</v>
      </c>
      <c r="C4" s="125" t="n">
        <v>110000</v>
      </c>
      <c r="D4" s="125" t="n">
        <v>72000</v>
      </c>
      <c r="E4" s="125" t="n">
        <v>70000</v>
      </c>
      <c r="F4" s="125" t="n">
        <v>12000</v>
      </c>
      <c r="G4" s="171" t="n">
        <v>0.93</v>
      </c>
      <c r="H4" s="125" t="n">
        <v>1050000</v>
      </c>
      <c r="I4" s="125" t="n">
        <v>1050000</v>
      </c>
      <c r="J4" s="172">
        <f>H4-I4</f>
        <v/>
      </c>
    </row>
    <row r="5" ht="15.75" customHeight="1" s="90">
      <c r="A5" s="116" t="inlineStr">
        <is>
          <t>Sales</t>
        </is>
      </c>
      <c r="B5" s="118" t="n">
        <v>60000</v>
      </c>
      <c r="C5" s="118" t="n">
        <v>130000</v>
      </c>
      <c r="D5" s="118" t="n">
        <v>78000</v>
      </c>
      <c r="E5" s="118" t="n">
        <v>76000</v>
      </c>
      <c r="F5" s="118" t="n">
        <v>15000</v>
      </c>
      <c r="G5" s="169" t="n">
        <v>0.9399999999999999</v>
      </c>
      <c r="H5" s="118" t="n">
        <v>1540000</v>
      </c>
      <c r="I5" s="118" t="n">
        <v>1540000</v>
      </c>
      <c r="J5" s="170">
        <f>H5-I5</f>
        <v/>
      </c>
    </row>
    <row r="6" ht="15.75" customHeight="1" s="90">
      <c r="A6" s="123" t="inlineStr">
        <is>
          <t>Finance</t>
        </is>
      </c>
      <c r="B6" s="125" t="n">
        <v>72000</v>
      </c>
      <c r="C6" s="125" t="n">
        <v>140000</v>
      </c>
      <c r="D6" s="125" t="n">
        <v>85000</v>
      </c>
      <c r="E6" s="125" t="n">
        <v>83000</v>
      </c>
      <c r="F6" s="125" t="n">
        <v>16000</v>
      </c>
      <c r="G6" s="171" t="n">
        <v>0.97</v>
      </c>
      <c r="H6" s="125" t="n">
        <v>680000</v>
      </c>
      <c r="I6" s="125" t="n">
        <v>680000</v>
      </c>
      <c r="J6" s="172">
        <f>H6-I6</f>
        <v/>
      </c>
    </row>
    <row r="7" ht="15.75" customHeight="1" s="90">
      <c r="A7" s="116" t="inlineStr">
        <is>
          <t>HR</t>
        </is>
      </c>
      <c r="B7" s="118" t="n">
        <v>50000</v>
      </c>
      <c r="C7" s="118" t="n">
        <v>95000</v>
      </c>
      <c r="D7" s="118" t="n">
        <v>65000</v>
      </c>
      <c r="E7" s="118" t="n">
        <v>63000</v>
      </c>
      <c r="F7" s="118" t="n">
        <v>11000</v>
      </c>
      <c r="G7" s="169" t="n">
        <v>0.95</v>
      </c>
      <c r="H7" s="118" t="n">
        <v>390000</v>
      </c>
      <c r="I7" s="118" t="n">
        <v>390000</v>
      </c>
      <c r="J7" s="170">
        <f>H7-I7</f>
        <v/>
      </c>
    </row>
    <row r="8" ht="15.75" customHeight="1" s="90">
      <c r="A8" s="123" t="inlineStr">
        <is>
          <t>Operations</t>
        </is>
      </c>
      <c r="B8" s="125" t="n">
        <v>58000</v>
      </c>
      <c r="C8" s="125" t="n">
        <v>115000</v>
      </c>
      <c r="D8" s="125" t="n">
        <v>70000</v>
      </c>
      <c r="E8" s="125" t="n">
        <v>68000</v>
      </c>
      <c r="F8" s="125" t="n">
        <v>12500</v>
      </c>
      <c r="G8" s="171" t="n">
        <v>0.9399999999999999</v>
      </c>
      <c r="H8" s="125" t="n">
        <v>840000</v>
      </c>
      <c r="I8" s="125" t="n">
        <v>840000</v>
      </c>
      <c r="J8" s="172">
        <f>H8-I8</f>
        <v/>
      </c>
    </row>
    <row r="9" ht="15.75" customHeight="1" s="90">
      <c r="A9" s="116" t="inlineStr">
        <is>
          <t>Customer Success</t>
        </is>
      </c>
      <c r="B9" s="118" t="n">
        <v>52000</v>
      </c>
      <c r="C9" s="118" t="n">
        <v>105000</v>
      </c>
      <c r="D9" s="118" t="n">
        <v>68000</v>
      </c>
      <c r="E9" s="118" t="n">
        <v>66000</v>
      </c>
      <c r="F9" s="118" t="n">
        <v>11500</v>
      </c>
      <c r="G9" s="169" t="n">
        <v>0.96</v>
      </c>
      <c r="H9" s="118" t="n">
        <v>680000</v>
      </c>
      <c r="I9" s="118" t="n">
        <v>680000</v>
      </c>
      <c r="J9" s="170">
        <f>H9-I9</f>
        <v/>
      </c>
    </row>
    <row r="10" ht="15.75" customHeight="1" s="90">
      <c r="A10" s="123" t="inlineStr">
        <is>
          <t>Product</t>
        </is>
      </c>
      <c r="B10" s="125" t="n">
        <v>75000</v>
      </c>
      <c r="C10" s="125" t="n">
        <v>155000</v>
      </c>
      <c r="D10" s="125" t="n">
        <v>90000</v>
      </c>
      <c r="E10" s="125" t="n">
        <v>88000</v>
      </c>
      <c r="F10" s="125" t="n">
        <v>19000</v>
      </c>
      <c r="G10" s="171" t="n">
        <v>0.95</v>
      </c>
      <c r="H10" s="125" t="n">
        <v>720000</v>
      </c>
      <c r="I10" s="125" t="n">
        <v>720000</v>
      </c>
      <c r="J10" s="172">
        <f>H10-I10</f>
        <v/>
      </c>
    </row>
    <row r="11" ht="15.75" customHeight="1" s="90">
      <c r="A11" s="116" t="inlineStr">
        <is>
          <t>Legal</t>
        </is>
      </c>
      <c r="B11" s="118" t="n">
        <v>80000</v>
      </c>
      <c r="C11" s="118" t="n">
        <v>160000</v>
      </c>
      <c r="D11" s="118" t="n">
        <v>95000</v>
      </c>
      <c r="E11" s="118" t="n">
        <v>93000</v>
      </c>
      <c r="F11" s="118" t="n">
        <v>20000</v>
      </c>
      <c r="G11" s="169" t="n">
        <v>0.98</v>
      </c>
      <c r="H11" s="118" t="n">
        <v>380000</v>
      </c>
      <c r="I11" s="118" t="n">
        <v>380000</v>
      </c>
      <c r="J11" s="170">
        <f>H11-I11</f>
        <v/>
      </c>
    </row>
    <row r="12" ht="15.75" customHeight="1" s="90">
      <c r="A12" s="123" t="inlineStr">
        <is>
          <t>Executive</t>
        </is>
      </c>
      <c r="B12" s="125" t="n">
        <v>120000</v>
      </c>
      <c r="C12" s="125" t="n">
        <v>250000</v>
      </c>
      <c r="D12" s="125" t="n">
        <v>150000</v>
      </c>
      <c r="E12" s="125" t="n">
        <v>145000</v>
      </c>
      <c r="F12" s="125" t="n">
        <v>35000</v>
      </c>
      <c r="G12" s="171" t="n">
        <v>0.97</v>
      </c>
      <c r="H12" s="125" t="n">
        <v>450000</v>
      </c>
      <c r="I12" s="125" t="n">
        <v>450000</v>
      </c>
      <c r="J12" s="172">
        <f>H12-I12</f>
        <v/>
      </c>
    </row>
    <row r="13" ht="15.75" customHeight="1" s="90">
      <c r="A13" s="116" t="inlineStr">
        <is>
          <t>R&amp;D</t>
        </is>
      </c>
      <c r="B13" s="118" t="n">
        <v>80000</v>
      </c>
      <c r="C13" s="118" t="n">
        <v>165000</v>
      </c>
      <c r="D13" s="118" t="n">
        <v>100000</v>
      </c>
      <c r="E13" s="118" t="n">
        <v>98000</v>
      </c>
      <c r="F13" s="118" t="n">
        <v>22000</v>
      </c>
      <c r="G13" s="169" t="n">
        <v>0.96</v>
      </c>
      <c r="H13" s="118" t="n">
        <v>700000</v>
      </c>
      <c r="I13" s="118" t="n">
        <v>700000</v>
      </c>
      <c r="J13" s="170">
        <f>H13-I13</f>
        <v/>
      </c>
    </row>
    <row r="14" ht="15.75" customHeight="1" s="90">
      <c r="A14" s="123" t="inlineStr">
        <is>
          <t>IT Support</t>
        </is>
      </c>
      <c r="B14" s="125" t="n">
        <v>48000</v>
      </c>
      <c r="C14" s="125" t="n">
        <v>95000</v>
      </c>
      <c r="D14" s="125" t="n">
        <v>62000</v>
      </c>
      <c r="E14" s="125" t="n">
        <v>60000</v>
      </c>
      <c r="F14" s="125" t="n">
        <v>10000</v>
      </c>
      <c r="G14" s="171" t="n">
        <v>0.93</v>
      </c>
      <c r="H14" s="125" t="n">
        <v>310000</v>
      </c>
      <c r="I14" s="125" t="n">
        <v>310000</v>
      </c>
      <c r="J14" s="172">
        <f>H14-I14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89" min="1" max="1"/>
    <col width="22" customWidth="1" style="89" min="2" max="2"/>
    <col width="16" customWidth="1" style="89" min="3" max="3"/>
    <col width="12" customWidth="1" style="89" min="4" max="4"/>
    <col width="13" customWidth="1" style="89" min="5" max="6"/>
    <col width="12" customWidth="1" style="89" min="7" max="8"/>
    <col width="8" customWidth="1" style="89" min="9" max="10"/>
    <col width="14" customWidth="1" style="89" min="11" max="12"/>
  </cols>
  <sheetData>
    <row r="1" ht="27.75" customHeight="1" s="90">
      <c r="A1" s="168" t="inlineStr">
        <is>
          <t>RECRUITMENT PIPELINE  |  Talent Acquisition Dashboard</t>
        </is>
      </c>
    </row>
    <row r="2" ht="27.75" customHeight="1" s="90">
      <c r="A2" s="115" t="inlineStr">
        <is>
          <t>Req ID</t>
        </is>
      </c>
      <c r="B2" s="115" t="inlineStr">
        <is>
          <t>Role</t>
        </is>
      </c>
      <c r="C2" s="115" t="inlineStr">
        <is>
          <t>Department</t>
        </is>
      </c>
      <c r="D2" s="115" t="inlineStr">
        <is>
          <t>Level</t>
        </is>
      </c>
      <c r="E2" s="115" t="inlineStr">
        <is>
          <t>Applications</t>
        </is>
      </c>
      <c r="F2" s="115" t="inlineStr">
        <is>
          <t>Phone Screen</t>
        </is>
      </c>
      <c r="G2" s="115" t="inlineStr">
        <is>
          <t>Technical</t>
        </is>
      </c>
      <c r="H2" s="115" t="inlineStr">
        <is>
          <t>Final Round</t>
        </is>
      </c>
      <c r="I2" s="115" t="inlineStr">
        <is>
          <t>Offers</t>
        </is>
      </c>
      <c r="J2" s="115" t="inlineStr">
        <is>
          <t>Accepts</t>
        </is>
      </c>
      <c r="K2" s="115" t="inlineStr">
        <is>
          <t>Time to Fill (days)</t>
        </is>
      </c>
      <c r="L2" s="115" t="inlineStr">
        <is>
          <t>Status</t>
        </is>
      </c>
    </row>
    <row r="3" ht="15.75" customHeight="1" s="90">
      <c r="A3" s="116" t="inlineStr">
        <is>
          <t>REQ-2025001</t>
        </is>
      </c>
      <c r="B3" s="116" t="inlineStr">
        <is>
          <t>Senior Software Engineer</t>
        </is>
      </c>
      <c r="C3" s="116" t="inlineStr">
        <is>
          <t>Engineering</t>
        </is>
      </c>
      <c r="D3" s="116" t="inlineStr">
        <is>
          <t>Junior</t>
        </is>
      </c>
      <c r="E3" s="117" t="n">
        <v>176</v>
      </c>
      <c r="F3" s="117" t="n">
        <v>98</v>
      </c>
      <c r="G3" s="117" t="n">
        <v>67</v>
      </c>
      <c r="H3" s="117" t="n">
        <v>31</v>
      </c>
      <c r="I3" s="117" t="n">
        <v>18</v>
      </c>
      <c r="J3" s="117" t="n">
        <v>13</v>
      </c>
      <c r="K3" s="117" t="n">
        <v>75</v>
      </c>
      <c r="L3" s="164" t="inlineStr">
        <is>
          <t>Offer Extended</t>
        </is>
      </c>
    </row>
    <row r="4" ht="15.75" customHeight="1" s="90">
      <c r="A4" s="123" t="inlineStr">
        <is>
          <t>REQ-2025002</t>
        </is>
      </c>
      <c r="B4" s="123" t="inlineStr">
        <is>
          <t>Marketing Manager</t>
        </is>
      </c>
      <c r="C4" s="123" t="inlineStr">
        <is>
          <t>Marketing</t>
        </is>
      </c>
      <c r="D4" s="123" t="inlineStr">
        <is>
          <t>Mid</t>
        </is>
      </c>
      <c r="E4" s="124" t="n">
        <v>81</v>
      </c>
      <c r="F4" s="124" t="n">
        <v>36</v>
      </c>
      <c r="G4" s="124" t="n">
        <v>23</v>
      </c>
      <c r="H4" s="124" t="n">
        <v>9</v>
      </c>
      <c r="I4" s="124" t="n">
        <v>5</v>
      </c>
      <c r="J4" s="124" t="n">
        <v>4</v>
      </c>
      <c r="K4" s="124" t="n">
        <v>32</v>
      </c>
      <c r="L4" s="166" t="inlineStr">
        <is>
          <t>Active</t>
        </is>
      </c>
    </row>
    <row r="5" ht="15.75" customHeight="1" s="90">
      <c r="A5" s="116" t="inlineStr">
        <is>
          <t>REQ-2025003</t>
        </is>
      </c>
      <c r="B5" s="116" t="inlineStr">
        <is>
          <t>Sales Executive</t>
        </is>
      </c>
      <c r="C5" s="116" t="inlineStr">
        <is>
          <t>Sales</t>
        </is>
      </c>
      <c r="D5" s="116" t="inlineStr">
        <is>
          <t>Senior</t>
        </is>
      </c>
      <c r="E5" s="117" t="n">
        <v>75</v>
      </c>
      <c r="F5" s="117" t="n">
        <v>26</v>
      </c>
      <c r="G5" s="117" t="n">
        <v>17</v>
      </c>
      <c r="H5" s="117" t="n">
        <v>7</v>
      </c>
      <c r="I5" s="117" t="n">
        <v>4</v>
      </c>
      <c r="J5" s="117" t="n">
        <v>3</v>
      </c>
      <c r="K5" s="117" t="n">
        <v>73</v>
      </c>
      <c r="L5" s="164" t="inlineStr">
        <is>
          <t>Active</t>
        </is>
      </c>
    </row>
    <row r="6" ht="15.75" customHeight="1" s="90">
      <c r="A6" s="123" t="inlineStr">
        <is>
          <t>REQ-2025004</t>
        </is>
      </c>
      <c r="B6" s="123" t="inlineStr">
        <is>
          <t>Financial Analyst</t>
        </is>
      </c>
      <c r="C6" s="123" t="inlineStr">
        <is>
          <t>Finance</t>
        </is>
      </c>
      <c r="D6" s="123" t="inlineStr">
        <is>
          <t>Lead</t>
        </is>
      </c>
      <c r="E6" s="124" t="n">
        <v>152</v>
      </c>
      <c r="F6" s="124" t="n">
        <v>56</v>
      </c>
      <c r="G6" s="124" t="n">
        <v>38</v>
      </c>
      <c r="H6" s="124" t="n">
        <v>17</v>
      </c>
      <c r="I6" s="124" t="n">
        <v>10</v>
      </c>
      <c r="J6" s="124" t="n">
        <v>8</v>
      </c>
      <c r="K6" s="124" t="n">
        <v>35</v>
      </c>
      <c r="L6" s="166" t="inlineStr">
        <is>
          <t>Offer Extended</t>
        </is>
      </c>
    </row>
    <row r="7" ht="15.75" customHeight="1" s="90">
      <c r="A7" s="116" t="inlineStr">
        <is>
          <t>REQ-2025005</t>
        </is>
      </c>
      <c r="B7" s="116" t="inlineStr">
        <is>
          <t>HR Business Partner</t>
        </is>
      </c>
      <c r="C7" s="116" t="inlineStr">
        <is>
          <t>HR</t>
        </is>
      </c>
      <c r="D7" s="116" t="inlineStr">
        <is>
          <t>Manager</t>
        </is>
      </c>
      <c r="E7" s="117" t="n">
        <v>76</v>
      </c>
      <c r="F7" s="117" t="n">
        <v>29</v>
      </c>
      <c r="G7" s="117" t="n">
        <v>16</v>
      </c>
      <c r="H7" s="117" t="n">
        <v>8</v>
      </c>
      <c r="I7" s="117" t="n">
        <v>6</v>
      </c>
      <c r="J7" s="117" t="n">
        <v>4</v>
      </c>
      <c r="K7" s="117" t="n">
        <v>49</v>
      </c>
      <c r="L7" s="164" t="inlineStr">
        <is>
          <t>Active</t>
        </is>
      </c>
    </row>
    <row r="8" ht="15.75" customHeight="1" s="90">
      <c r="A8" s="123" t="inlineStr">
        <is>
          <t>REQ-2025006</t>
        </is>
      </c>
      <c r="B8" s="123" t="inlineStr">
        <is>
          <t>Operations Manager</t>
        </is>
      </c>
      <c r="C8" s="123" t="inlineStr">
        <is>
          <t>Operations</t>
        </is>
      </c>
      <c r="D8" s="123" t="inlineStr">
        <is>
          <t>Director</t>
        </is>
      </c>
      <c r="E8" s="124" t="n">
        <v>33</v>
      </c>
      <c r="F8" s="124" t="n">
        <v>19</v>
      </c>
      <c r="G8" s="124" t="n">
        <v>12</v>
      </c>
      <c r="H8" s="124" t="n">
        <v>5</v>
      </c>
      <c r="I8" s="124" t="n">
        <v>2</v>
      </c>
      <c r="J8" s="124" t="n">
        <v>2</v>
      </c>
      <c r="K8" s="124" t="n">
        <v>38</v>
      </c>
      <c r="L8" s="166" t="inlineStr">
        <is>
          <t>Offer Extended</t>
        </is>
      </c>
    </row>
    <row r="9" ht="15.75" customHeight="1" s="90">
      <c r="A9" s="116" t="inlineStr">
        <is>
          <t>REQ-2025007</t>
        </is>
      </c>
      <c r="B9" s="116" t="inlineStr">
        <is>
          <t>Customer Success Manager</t>
        </is>
      </c>
      <c r="C9" s="116" t="inlineStr">
        <is>
          <t>Customer Success</t>
        </is>
      </c>
      <c r="D9" s="116" t="inlineStr">
        <is>
          <t>VP</t>
        </is>
      </c>
      <c r="E9" s="117" t="n">
        <v>175</v>
      </c>
      <c r="F9" s="117" t="n">
        <v>85</v>
      </c>
      <c r="G9" s="117" t="n">
        <v>55</v>
      </c>
      <c r="H9" s="117" t="n">
        <v>22</v>
      </c>
      <c r="I9" s="117" t="n">
        <v>11</v>
      </c>
      <c r="J9" s="117" t="n">
        <v>8</v>
      </c>
      <c r="K9" s="117" t="n">
        <v>44</v>
      </c>
      <c r="L9" s="164" t="inlineStr">
        <is>
          <t>Active</t>
        </is>
      </c>
    </row>
    <row r="10" ht="15.75" customHeight="1" s="90">
      <c r="A10" s="123" t="inlineStr">
        <is>
          <t>REQ-2025008</t>
        </is>
      </c>
      <c r="B10" s="123" t="inlineStr">
        <is>
          <t>Product Manager</t>
        </is>
      </c>
      <c r="C10" s="123" t="inlineStr">
        <is>
          <t>Product</t>
        </is>
      </c>
      <c r="D10" s="123" t="inlineStr">
        <is>
          <t>Junior</t>
        </is>
      </c>
      <c r="E10" s="124" t="n">
        <v>66</v>
      </c>
      <c r="F10" s="124" t="n">
        <v>28</v>
      </c>
      <c r="G10" s="124" t="n">
        <v>11</v>
      </c>
      <c r="H10" s="124" t="n">
        <v>5</v>
      </c>
      <c r="I10" s="124" t="n">
        <v>4</v>
      </c>
      <c r="J10" s="124" t="n">
        <v>3</v>
      </c>
      <c r="K10" s="124" t="n">
        <v>70</v>
      </c>
      <c r="L10" s="166" t="inlineStr">
        <is>
          <t>Active</t>
        </is>
      </c>
    </row>
    <row r="11" ht="15.75" customHeight="1" s="90">
      <c r="A11" s="116" t="inlineStr">
        <is>
          <t>REQ-2025009</t>
        </is>
      </c>
      <c r="B11" s="116" t="inlineStr">
        <is>
          <t>Legal Counsel</t>
        </is>
      </c>
      <c r="C11" s="116" t="inlineStr">
        <is>
          <t>Legal</t>
        </is>
      </c>
      <c r="D11" s="116" t="inlineStr">
        <is>
          <t>Mid</t>
        </is>
      </c>
      <c r="E11" s="117" t="n">
        <v>67</v>
      </c>
      <c r="F11" s="117" t="n">
        <v>39</v>
      </c>
      <c r="G11" s="117" t="n">
        <v>21</v>
      </c>
      <c r="H11" s="117" t="n">
        <v>7</v>
      </c>
      <c r="I11" s="117" t="n">
        <v>5</v>
      </c>
      <c r="J11" s="117" t="n">
        <v>3</v>
      </c>
      <c r="K11" s="117" t="n">
        <v>51</v>
      </c>
      <c r="L11" s="164" t="inlineStr">
        <is>
          <t>Active</t>
        </is>
      </c>
    </row>
    <row r="12" ht="15.75" customHeight="1" s="90">
      <c r="A12" s="123" t="inlineStr">
        <is>
          <t>REQ-2025010</t>
        </is>
      </c>
      <c r="B12" s="123" t="inlineStr">
        <is>
          <t>Executive Assistant</t>
        </is>
      </c>
      <c r="C12" s="123" t="inlineStr">
        <is>
          <t>Executive</t>
        </is>
      </c>
      <c r="D12" s="123" t="inlineStr">
        <is>
          <t>Senior</t>
        </is>
      </c>
      <c r="E12" s="124" t="n">
        <v>43</v>
      </c>
      <c r="F12" s="124" t="n">
        <v>14</v>
      </c>
      <c r="G12" s="124" t="n">
        <v>7</v>
      </c>
      <c r="H12" s="124" t="n">
        <v>3</v>
      </c>
      <c r="I12" s="124" t="n">
        <v>2</v>
      </c>
      <c r="J12" s="124" t="n">
        <v>1</v>
      </c>
      <c r="K12" s="124" t="n">
        <v>44</v>
      </c>
      <c r="L12" s="166" t="inlineStr">
        <is>
          <t>Active</t>
        </is>
      </c>
    </row>
    <row r="13" ht="15.75" customHeight="1" s="90">
      <c r="A13" s="116" t="inlineStr">
        <is>
          <t>REQ-2025011</t>
        </is>
      </c>
      <c r="B13" s="116" t="inlineStr">
        <is>
          <t>Data Scientist</t>
        </is>
      </c>
      <c r="C13" s="116" t="inlineStr">
        <is>
          <t>R&amp;D</t>
        </is>
      </c>
      <c r="D13" s="116" t="inlineStr">
        <is>
          <t>Lead</t>
        </is>
      </c>
      <c r="E13" s="117" t="n">
        <v>72</v>
      </c>
      <c r="F13" s="117" t="n">
        <v>27</v>
      </c>
      <c r="G13" s="117" t="n">
        <v>12</v>
      </c>
      <c r="H13" s="117" t="n">
        <v>6</v>
      </c>
      <c r="I13" s="117" t="n">
        <v>5</v>
      </c>
      <c r="J13" s="117" t="n">
        <v>4</v>
      </c>
      <c r="K13" s="117" t="n">
        <v>47</v>
      </c>
      <c r="L13" s="164" t="inlineStr">
        <is>
          <t>Active</t>
        </is>
      </c>
    </row>
    <row r="14" ht="15.75" customHeight="1" s="90">
      <c r="A14" s="123" t="inlineStr">
        <is>
          <t>REQ-2025012</t>
        </is>
      </c>
      <c r="B14" s="123" t="inlineStr">
        <is>
          <t>IT Security Analyst</t>
        </is>
      </c>
      <c r="C14" s="123" t="inlineStr">
        <is>
          <t>IT Support</t>
        </is>
      </c>
      <c r="D14" s="123" t="inlineStr">
        <is>
          <t>Manager</t>
        </is>
      </c>
      <c r="E14" s="124" t="n">
        <v>126</v>
      </c>
      <c r="F14" s="124" t="n">
        <v>74</v>
      </c>
      <c r="G14" s="124" t="n">
        <v>30</v>
      </c>
      <c r="H14" s="124" t="n">
        <v>10</v>
      </c>
      <c r="I14" s="124" t="n">
        <v>7</v>
      </c>
      <c r="J14" s="124" t="n">
        <v>5</v>
      </c>
      <c r="K14" s="124" t="n">
        <v>45</v>
      </c>
      <c r="L14" s="166" t="inlineStr">
        <is>
          <t>Active</t>
        </is>
      </c>
    </row>
    <row r="15" ht="15.75" customHeight="1" s="90">
      <c r="A15" s="116" t="inlineStr">
        <is>
          <t>REQ-2025013</t>
        </is>
      </c>
      <c r="B15" s="116" t="inlineStr">
        <is>
          <t>DevOps Engineer</t>
        </is>
      </c>
      <c r="C15" s="116" t="inlineStr">
        <is>
          <t>Engineering</t>
        </is>
      </c>
      <c r="D15" s="116" t="inlineStr">
        <is>
          <t>Director</t>
        </is>
      </c>
      <c r="E15" s="117" t="n">
        <v>26</v>
      </c>
      <c r="F15" s="117" t="n">
        <v>15</v>
      </c>
      <c r="G15" s="117" t="n">
        <v>8</v>
      </c>
      <c r="H15" s="117" t="n">
        <v>3</v>
      </c>
      <c r="I15" s="117" t="n">
        <v>2</v>
      </c>
      <c r="J15" s="117" t="n">
        <v>2</v>
      </c>
      <c r="K15" s="117" t="n">
        <v>66</v>
      </c>
      <c r="L15" s="164" t="inlineStr">
        <is>
          <t>Active</t>
        </is>
      </c>
    </row>
    <row r="16" ht="15.75" customHeight="1" s="90">
      <c r="A16" s="123" t="inlineStr">
        <is>
          <t>REQ-2025014</t>
        </is>
      </c>
      <c r="B16" s="123" t="inlineStr">
        <is>
          <t>Content Strategist</t>
        </is>
      </c>
      <c r="C16" s="123" t="inlineStr">
        <is>
          <t>Marketing</t>
        </is>
      </c>
      <c r="D16" s="123" t="inlineStr">
        <is>
          <t>VP</t>
        </is>
      </c>
      <c r="E16" s="124" t="n">
        <v>40</v>
      </c>
      <c r="F16" s="124" t="n">
        <v>13</v>
      </c>
      <c r="G16" s="124" t="n">
        <v>8</v>
      </c>
      <c r="H16" s="124" t="n">
        <v>4</v>
      </c>
      <c r="I16" s="124" t="n">
        <v>2</v>
      </c>
      <c r="J16" s="124" t="n">
        <v>2</v>
      </c>
      <c r="K16" s="124" t="n">
        <v>71</v>
      </c>
      <c r="L16" s="166" t="inlineStr">
        <is>
          <t>On Hold</t>
        </is>
      </c>
    </row>
    <row r="17" ht="15.75" customHeight="1" s="90">
      <c r="A17" s="116" t="inlineStr">
        <is>
          <t>REQ-2025015</t>
        </is>
      </c>
      <c r="B17" s="116" t="inlineStr">
        <is>
          <t>Account Executive</t>
        </is>
      </c>
      <c r="C17" s="116" t="inlineStr">
        <is>
          <t>Sales</t>
        </is>
      </c>
      <c r="D17" s="116" t="inlineStr">
        <is>
          <t>Junior</t>
        </is>
      </c>
      <c r="E17" s="117" t="n">
        <v>157</v>
      </c>
      <c r="F17" s="117" t="n">
        <v>70</v>
      </c>
      <c r="G17" s="117" t="n">
        <v>30</v>
      </c>
      <c r="H17" s="117" t="n">
        <v>10</v>
      </c>
      <c r="I17" s="117" t="n">
        <v>5</v>
      </c>
      <c r="J17" s="117" t="n">
        <v>5</v>
      </c>
      <c r="K17" s="117" t="n">
        <v>43</v>
      </c>
      <c r="L17" s="164" t="inlineStr">
        <is>
          <t>Offer Extended</t>
        </is>
      </c>
    </row>
    <row r="18" ht="15.75" customHeight="1" s="90">
      <c r="A18" s="123" t="inlineStr">
        <is>
          <t>REQ-2025016</t>
        </is>
      </c>
      <c r="B18" s="123" t="inlineStr">
        <is>
          <t>UX Designer</t>
        </is>
      </c>
      <c r="C18" s="123" t="inlineStr">
        <is>
          <t>Finance</t>
        </is>
      </c>
      <c r="D18" s="123" t="inlineStr">
        <is>
          <t>Mid</t>
        </is>
      </c>
      <c r="E18" s="124" t="n">
        <v>58</v>
      </c>
      <c r="F18" s="124" t="n">
        <v>25</v>
      </c>
      <c r="G18" s="124" t="n">
        <v>17</v>
      </c>
      <c r="H18" s="124" t="n">
        <v>8</v>
      </c>
      <c r="I18" s="124" t="n">
        <v>4</v>
      </c>
      <c r="J18" s="124" t="n">
        <v>4</v>
      </c>
      <c r="K18" s="124" t="n">
        <v>63</v>
      </c>
      <c r="L18" s="166" t="inlineStr">
        <is>
          <t>Active</t>
        </is>
      </c>
    </row>
    <row r="19" ht="15.75" customHeight="1" s="90">
      <c r="A19" s="116" t="inlineStr">
        <is>
          <t>REQ-2025017</t>
        </is>
      </c>
      <c r="B19" s="116" t="inlineStr">
        <is>
          <t>QA Engineer</t>
        </is>
      </c>
      <c r="C19" s="116" t="inlineStr">
        <is>
          <t>HR</t>
        </is>
      </c>
      <c r="D19" s="116" t="inlineStr">
        <is>
          <t>Senior</t>
        </is>
      </c>
      <c r="E19" s="117" t="n">
        <v>149</v>
      </c>
      <c r="F19" s="117" t="n">
        <v>67</v>
      </c>
      <c r="G19" s="117" t="n">
        <v>30</v>
      </c>
      <c r="H19" s="117" t="n">
        <v>10</v>
      </c>
      <c r="I19" s="117" t="n">
        <v>6</v>
      </c>
      <c r="J19" s="117" t="n">
        <v>5</v>
      </c>
      <c r="K19" s="117" t="n">
        <v>52</v>
      </c>
      <c r="L19" s="164" t="inlineStr">
        <is>
          <t>Active</t>
        </is>
      </c>
    </row>
    <row r="20" ht="15.75" customHeight="1" s="90">
      <c r="A20" s="123" t="inlineStr">
        <is>
          <t>REQ-2025018</t>
        </is>
      </c>
      <c r="B20" s="123" t="inlineStr">
        <is>
          <t>Business Analyst</t>
        </is>
      </c>
      <c r="C20" s="123" t="inlineStr">
        <is>
          <t>Operations</t>
        </is>
      </c>
      <c r="D20" s="123" t="inlineStr">
        <is>
          <t>Lead</t>
        </is>
      </c>
      <c r="E20" s="124" t="n">
        <v>92</v>
      </c>
      <c r="F20" s="124" t="n">
        <v>53</v>
      </c>
      <c r="G20" s="124" t="n">
        <v>31</v>
      </c>
      <c r="H20" s="124" t="n">
        <v>12</v>
      </c>
      <c r="I20" s="124" t="n">
        <v>8</v>
      </c>
      <c r="J20" s="124" t="n">
        <v>8</v>
      </c>
      <c r="K20" s="124" t="n">
        <v>68</v>
      </c>
      <c r="L20" s="166" t="inlineStr">
        <is>
          <t>Filled</t>
        </is>
      </c>
    </row>
    <row r="21" ht="15.75" customHeight="1" s="90">
      <c r="A21" s="116" t="inlineStr">
        <is>
          <t>REQ-2025019</t>
        </is>
      </c>
      <c r="B21" s="116" t="inlineStr">
        <is>
          <t>Recruiter</t>
        </is>
      </c>
      <c r="C21" s="116" t="inlineStr">
        <is>
          <t>Customer Success</t>
        </is>
      </c>
      <c r="D21" s="116" t="inlineStr">
        <is>
          <t>Manager</t>
        </is>
      </c>
      <c r="E21" s="117" t="n">
        <v>126</v>
      </c>
      <c r="F21" s="117" t="n">
        <v>62</v>
      </c>
      <c r="G21" s="117" t="n">
        <v>42</v>
      </c>
      <c r="H21" s="117" t="n">
        <v>14</v>
      </c>
      <c r="I21" s="117" t="n">
        <v>10</v>
      </c>
      <c r="J21" s="117" t="n">
        <v>9</v>
      </c>
      <c r="K21" s="117" t="n">
        <v>20</v>
      </c>
      <c r="L21" s="164" t="inlineStr">
        <is>
          <t>Active</t>
        </is>
      </c>
    </row>
    <row r="22" ht="15.75" customHeight="1" s="90">
      <c r="A22" s="123" t="inlineStr">
        <is>
          <t>REQ-2025020</t>
        </is>
      </c>
      <c r="B22" s="123" t="inlineStr">
        <is>
          <t>Engineering Manager</t>
        </is>
      </c>
      <c r="C22" s="123" t="inlineStr">
        <is>
          <t>Product</t>
        </is>
      </c>
      <c r="D22" s="123" t="inlineStr">
        <is>
          <t>Director</t>
        </is>
      </c>
      <c r="E22" s="124" t="n">
        <v>180</v>
      </c>
      <c r="F22" s="124" t="n">
        <v>62</v>
      </c>
      <c r="G22" s="124" t="n">
        <v>38</v>
      </c>
      <c r="H22" s="124" t="n">
        <v>16</v>
      </c>
      <c r="I22" s="124" t="n">
        <v>13</v>
      </c>
      <c r="J22" s="124" t="n">
        <v>12</v>
      </c>
      <c r="K22" s="124" t="n">
        <v>72</v>
      </c>
      <c r="L22" s="166" t="inlineStr">
        <is>
          <t>Cancelled</t>
        </is>
      </c>
    </row>
    <row r="23" ht="15.75" customHeight="1" s="90">
      <c r="A23" s="116" t="inlineStr">
        <is>
          <t>REQ-2025021</t>
        </is>
      </c>
      <c r="B23" s="116" t="inlineStr">
        <is>
          <t>Growth Marketing Lead</t>
        </is>
      </c>
      <c r="C23" s="116" t="inlineStr">
        <is>
          <t>Legal</t>
        </is>
      </c>
      <c r="D23" s="116" t="inlineStr">
        <is>
          <t>VP</t>
        </is>
      </c>
      <c r="E23" s="117" t="n">
        <v>46</v>
      </c>
      <c r="F23" s="117" t="n">
        <v>25</v>
      </c>
      <c r="G23" s="117" t="n">
        <v>11</v>
      </c>
      <c r="H23" s="117" t="n">
        <v>4</v>
      </c>
      <c r="I23" s="117" t="n">
        <v>2</v>
      </c>
      <c r="J23" s="117" t="n">
        <v>1</v>
      </c>
      <c r="K23" s="117" t="n">
        <v>34</v>
      </c>
      <c r="L23" s="164" t="inlineStr">
        <is>
          <t>On Hold</t>
        </is>
      </c>
    </row>
    <row r="24" ht="15.75" customHeight="1" s="90">
      <c r="A24" s="123" t="inlineStr">
        <is>
          <t>REQ-2025022</t>
        </is>
      </c>
      <c r="B24" s="123" t="inlineStr">
        <is>
          <t>Senior Data Analyst</t>
        </is>
      </c>
      <c r="C24" s="123" t="inlineStr">
        <is>
          <t>Executive</t>
        </is>
      </c>
      <c r="D24" s="123" t="inlineStr">
        <is>
          <t>Junior</t>
        </is>
      </c>
      <c r="E24" s="124" t="n">
        <v>140</v>
      </c>
      <c r="F24" s="124" t="n">
        <v>82</v>
      </c>
      <c r="G24" s="124" t="n">
        <v>35</v>
      </c>
      <c r="H24" s="124" t="n">
        <v>11</v>
      </c>
      <c r="I24" s="124" t="n">
        <v>6</v>
      </c>
      <c r="J24" s="124" t="n">
        <v>5</v>
      </c>
      <c r="K24" s="124" t="n">
        <v>54</v>
      </c>
      <c r="L24" s="166" t="inlineStr">
        <is>
          <t>Active</t>
        </is>
      </c>
    </row>
    <row r="25" ht="15.75" customHeight="1" s="90">
      <c r="A25" s="116" t="inlineStr">
        <is>
          <t>REQ-2025023</t>
        </is>
      </c>
      <c r="B25" s="116" t="inlineStr">
        <is>
          <t>Cloud Architect</t>
        </is>
      </c>
      <c r="C25" s="116" t="inlineStr">
        <is>
          <t>R&amp;D</t>
        </is>
      </c>
      <c r="D25" s="116" t="inlineStr">
        <is>
          <t>Mid</t>
        </is>
      </c>
      <c r="E25" s="117" t="n">
        <v>189</v>
      </c>
      <c r="F25" s="117" t="n">
        <v>62</v>
      </c>
      <c r="G25" s="117" t="n">
        <v>39</v>
      </c>
      <c r="H25" s="117" t="n">
        <v>14</v>
      </c>
      <c r="I25" s="117" t="n">
        <v>10</v>
      </c>
      <c r="J25" s="117" t="n">
        <v>9</v>
      </c>
      <c r="K25" s="117" t="n">
        <v>65</v>
      </c>
      <c r="L25" s="164" t="inlineStr">
        <is>
          <t>Filled</t>
        </is>
      </c>
    </row>
    <row r="26" ht="15.75" customHeight="1" s="90">
      <c r="A26" s="123" t="inlineStr">
        <is>
          <t>REQ-2025024</t>
        </is>
      </c>
      <c r="B26" s="123" t="inlineStr">
        <is>
          <t>Brand Strategist</t>
        </is>
      </c>
      <c r="C26" s="123" t="inlineStr">
        <is>
          <t>IT Support</t>
        </is>
      </c>
      <c r="D26" s="123" t="inlineStr">
        <is>
          <t>Senior</t>
        </is>
      </c>
      <c r="E26" s="124" t="n">
        <v>97</v>
      </c>
      <c r="F26" s="124" t="n">
        <v>52</v>
      </c>
      <c r="G26" s="124" t="n">
        <v>28</v>
      </c>
      <c r="H26" s="124" t="n">
        <v>10</v>
      </c>
      <c r="I26" s="124" t="n">
        <v>6</v>
      </c>
      <c r="J26" s="124" t="n">
        <v>4</v>
      </c>
      <c r="K26" s="124" t="n">
        <v>58</v>
      </c>
      <c r="L26" s="166" t="inlineStr">
        <is>
          <t>Active</t>
        </is>
      </c>
    </row>
    <row r="27" ht="15.75" customHeight="1" s="90">
      <c r="A27" s="116" t="inlineStr">
        <is>
          <t>REQ-2025025</t>
        </is>
      </c>
      <c r="B27" s="116" t="inlineStr">
        <is>
          <t>Sales Ops Manager</t>
        </is>
      </c>
      <c r="C27" s="116" t="inlineStr">
        <is>
          <t>Engineering</t>
        </is>
      </c>
      <c r="D27" s="116" t="inlineStr">
        <is>
          <t>Lead</t>
        </is>
      </c>
      <c r="E27" s="117" t="n">
        <v>149</v>
      </c>
      <c r="F27" s="117" t="n">
        <v>58</v>
      </c>
      <c r="G27" s="117" t="n">
        <v>41</v>
      </c>
      <c r="H27" s="117" t="n">
        <v>16</v>
      </c>
      <c r="I27" s="117" t="n">
        <v>10</v>
      </c>
      <c r="J27" s="117" t="n">
        <v>9</v>
      </c>
      <c r="K27" s="117" t="n">
        <v>57</v>
      </c>
      <c r="L27" s="164" t="inlineStr">
        <is>
          <t>Filled</t>
        </is>
      </c>
    </row>
    <row r="28" ht="15.75" customHeight="1" s="90">
      <c r="A28" s="123" t="inlineStr">
        <is>
          <t>REQ-2025026</t>
        </is>
      </c>
      <c r="B28" s="123" t="inlineStr">
        <is>
          <t>Customer Onboarding Specialist</t>
        </is>
      </c>
      <c r="C28" s="123" t="inlineStr">
        <is>
          <t>Marketing</t>
        </is>
      </c>
      <c r="D28" s="123" t="inlineStr">
        <is>
          <t>Manager</t>
        </is>
      </c>
      <c r="E28" s="124" t="n">
        <v>66</v>
      </c>
      <c r="F28" s="124" t="n">
        <v>24</v>
      </c>
      <c r="G28" s="124" t="n">
        <v>11</v>
      </c>
      <c r="H28" s="124" t="n">
        <v>4</v>
      </c>
      <c r="I28" s="124" t="n">
        <v>2</v>
      </c>
      <c r="J28" s="124" t="n">
        <v>2</v>
      </c>
      <c r="K28" s="124" t="n">
        <v>70</v>
      </c>
      <c r="L28" s="166" t="inlineStr">
        <is>
          <t>Active</t>
        </is>
      </c>
    </row>
    <row r="29" ht="15.75" customHeight="1" s="90">
      <c r="A29" s="116" t="inlineStr">
        <is>
          <t>REQ-2025027</t>
        </is>
      </c>
      <c r="B29" s="116" t="inlineStr">
        <is>
          <t>Product Designer</t>
        </is>
      </c>
      <c r="C29" s="116" t="inlineStr">
        <is>
          <t>Sales</t>
        </is>
      </c>
      <c r="D29" s="116" t="inlineStr">
        <is>
          <t>Director</t>
        </is>
      </c>
      <c r="E29" s="117" t="n">
        <v>153</v>
      </c>
      <c r="F29" s="117" t="n">
        <v>53</v>
      </c>
      <c r="G29" s="117" t="n">
        <v>33</v>
      </c>
      <c r="H29" s="117" t="n">
        <v>15</v>
      </c>
      <c r="I29" s="117" t="n">
        <v>11</v>
      </c>
      <c r="J29" s="117" t="n">
        <v>9</v>
      </c>
      <c r="K29" s="117" t="n">
        <v>44</v>
      </c>
      <c r="L29" s="164" t="inlineStr">
        <is>
          <t>Active</t>
        </is>
      </c>
    </row>
    <row r="30" ht="15.75" customHeight="1" s="90">
      <c r="A30" s="123" t="inlineStr">
        <is>
          <t>REQ-2025028</t>
        </is>
      </c>
      <c r="B30" s="123" t="inlineStr">
        <is>
          <t>Compliance Manager</t>
        </is>
      </c>
      <c r="C30" s="123" t="inlineStr">
        <is>
          <t>Finance</t>
        </is>
      </c>
      <c r="D30" s="123" t="inlineStr">
        <is>
          <t>VP</t>
        </is>
      </c>
      <c r="E30" s="124" t="n">
        <v>113</v>
      </c>
      <c r="F30" s="124" t="n">
        <v>54</v>
      </c>
      <c r="G30" s="124" t="n">
        <v>24</v>
      </c>
      <c r="H30" s="124" t="n">
        <v>9</v>
      </c>
      <c r="I30" s="124" t="n">
        <v>6</v>
      </c>
      <c r="J30" s="124" t="n">
        <v>5</v>
      </c>
      <c r="K30" s="124" t="n">
        <v>68</v>
      </c>
      <c r="L30" s="166" t="inlineStr">
        <is>
          <t>On Hold</t>
        </is>
      </c>
    </row>
    <row r="31" ht="15.75" customHeight="1" s="90">
      <c r="A31" s="116" t="inlineStr">
        <is>
          <t>REQ-2025029</t>
        </is>
      </c>
      <c r="B31" s="116" t="inlineStr">
        <is>
          <t>ML Engineer</t>
        </is>
      </c>
      <c r="C31" s="116" t="inlineStr">
        <is>
          <t>HR</t>
        </is>
      </c>
      <c r="D31" s="116" t="inlineStr">
        <is>
          <t>Junior</t>
        </is>
      </c>
      <c r="E31" s="117" t="n">
        <v>44</v>
      </c>
      <c r="F31" s="117" t="n">
        <v>18</v>
      </c>
      <c r="G31" s="117" t="n">
        <v>10</v>
      </c>
      <c r="H31" s="117" t="n">
        <v>5</v>
      </c>
      <c r="I31" s="117" t="n">
        <v>3</v>
      </c>
      <c r="J31" s="117" t="n">
        <v>2</v>
      </c>
      <c r="K31" s="117" t="n">
        <v>51</v>
      </c>
      <c r="L31" s="164" t="inlineStr">
        <is>
          <t>Filled</t>
        </is>
      </c>
    </row>
    <row r="32" ht="15.75" customHeight="1" s="90">
      <c r="A32" s="123" t="inlineStr">
        <is>
          <t>REQ-2025030</t>
        </is>
      </c>
      <c r="B32" s="123" t="inlineStr">
        <is>
          <t>Supply Chain Analyst</t>
        </is>
      </c>
      <c r="C32" s="123" t="inlineStr">
        <is>
          <t>Operations</t>
        </is>
      </c>
      <c r="D32" s="123" t="inlineStr">
        <is>
          <t>Mid</t>
        </is>
      </c>
      <c r="E32" s="124" t="n">
        <v>179</v>
      </c>
      <c r="F32" s="124" t="n">
        <v>106</v>
      </c>
      <c r="G32" s="124" t="n">
        <v>59</v>
      </c>
      <c r="H32" s="124" t="n">
        <v>27</v>
      </c>
      <c r="I32" s="124" t="n">
        <v>21</v>
      </c>
      <c r="J32" s="124" t="n">
        <v>13</v>
      </c>
      <c r="K32" s="124" t="n">
        <v>73</v>
      </c>
      <c r="L32" s="166" t="inlineStr">
        <is>
          <t>Active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9" min="1" max="1"/>
    <col width="14" customWidth="1" style="89" min="2" max="2"/>
    <col width="42" customWidth="1" style="89" min="3" max="3"/>
  </cols>
  <sheetData>
    <row r="1" ht="27.75" customHeight="1" s="90">
      <c r="A1" s="173" t="inlineStr">
        <is>
          <t>HR DASHBOARD SETTINGS &amp; BENCHMARKS</t>
        </is>
      </c>
    </row>
    <row r="3" ht="15" customHeight="1" s="90">
      <c r="A3" s="129" t="inlineStr">
        <is>
          <t>Setting</t>
        </is>
      </c>
      <c r="B3" s="129" t="inlineStr">
        <is>
          <t>Value</t>
        </is>
      </c>
      <c r="C3" s="129" t="inlineStr">
        <is>
          <t>Description</t>
        </is>
      </c>
    </row>
    <row r="4" ht="15.75" customHeight="1" s="90">
      <c r="A4" s="174" t="inlineStr">
        <is>
          <t>Target Headcount</t>
        </is>
      </c>
      <c r="B4" s="175" t="n">
        <v>100</v>
      </c>
      <c r="C4" s="135" t="inlineStr">
        <is>
          <t>Full year staffing goal</t>
        </is>
      </c>
    </row>
    <row r="5" ht="15.75" customHeight="1" s="90">
      <c r="A5" s="176" t="inlineStr">
        <is>
          <t>Annual HR Budget</t>
        </is>
      </c>
      <c r="B5" s="177" t="n">
        <v>9500000</v>
      </c>
      <c r="C5" s="141" t="inlineStr">
        <is>
          <t>Total HR &amp; compensation budget</t>
        </is>
      </c>
    </row>
    <row r="6" ht="15.75" customHeight="1" s="90">
      <c r="A6" s="174" t="inlineStr">
        <is>
          <t>Target Turnover Rate</t>
        </is>
      </c>
      <c r="B6" s="178" t="n">
        <v>0.1</v>
      </c>
      <c r="C6" s="135" t="inlineStr">
        <is>
          <t>Acceptable annual turnover %</t>
        </is>
      </c>
    </row>
    <row r="7" ht="15.75" customHeight="1" s="90">
      <c r="A7" s="176" t="inlineStr">
        <is>
          <t>Target Attendance Rate</t>
        </is>
      </c>
      <c r="B7" s="178" t="n">
        <v>0.95</v>
      </c>
      <c r="C7" s="141" t="inlineStr">
        <is>
          <t>Minimum attendance benchmark</t>
        </is>
      </c>
    </row>
    <row r="8" ht="15.75" customHeight="1" s="90">
      <c r="A8" s="174" t="inlineStr">
        <is>
          <t>Bonus Rate (Avg)</t>
        </is>
      </c>
      <c r="B8" s="178" t="n">
        <v>0.12</v>
      </c>
      <c r="C8" s="135" t="inlineStr">
        <is>
          <t>Average bonus as % of salary</t>
        </is>
      </c>
    </row>
    <row r="9" ht="15.75" customHeight="1" s="90">
      <c r="A9" s="176" t="inlineStr">
        <is>
          <t>Training Budget/Employee</t>
        </is>
      </c>
      <c r="B9" s="177" t="n">
        <v>800</v>
      </c>
      <c r="C9" s="141" t="inlineStr">
        <is>
          <t>Annual training spend per person</t>
        </is>
      </c>
    </row>
    <row r="10" ht="15.75" customHeight="1" s="90">
      <c r="A10" s="174" t="inlineStr">
        <is>
          <t>Target Performance Score</t>
        </is>
      </c>
      <c r="B10" s="179" t="n">
        <v>3.5</v>
      </c>
      <c r="C10" s="135" t="inlineStr">
        <is>
          <t>Average target on 1-5 scale</t>
        </is>
      </c>
    </row>
    <row r="11" ht="15.75" customHeight="1" s="90">
      <c r="A11" s="176" t="inlineStr">
        <is>
          <t>Hiring Target (Annual)</t>
        </is>
      </c>
      <c r="B11" s="175" t="n">
        <v>20</v>
      </c>
      <c r="C11" s="141" t="inlineStr">
        <is>
          <t>Number of new hires planned</t>
        </is>
      </c>
    </row>
    <row r="12" ht="15.75" customHeight="1" s="90">
      <c r="A12" s="174" t="inlineStr">
        <is>
          <t>Time to Fill Target (days)</t>
        </is>
      </c>
      <c r="B12" s="175" t="n">
        <v>35</v>
      </c>
      <c r="C12" s="135" t="inlineStr">
        <is>
          <t>Benchmark days to fill a role</t>
        </is>
      </c>
    </row>
    <row r="13" ht="15.75" customHeight="1" s="90">
      <c r="A13" s="176" t="inlineStr">
        <is>
          <t>Employee NPS Target</t>
        </is>
      </c>
      <c r="B13" s="175" t="n">
        <v>45</v>
      </c>
      <c r="C13" s="141" t="inlineStr">
        <is>
          <t>Target eNPS score</t>
        </is>
      </c>
    </row>
    <row r="14" ht="15.75" customHeight="1" s="90">
      <c r="A14" s="174" t="inlineStr">
        <is>
          <t>Promotion Rate Target</t>
        </is>
      </c>
      <c r="B14" s="178" t="n">
        <v>0.08</v>
      </c>
      <c r="C14" s="135" t="inlineStr">
        <is>
          <t>% of workforce promoted annually</t>
        </is>
      </c>
    </row>
    <row r="15" ht="15.75" customHeight="1" s="90">
      <c r="A15" s="176" t="inlineStr">
        <is>
          <t>Diversity Target (%)_Women</t>
        </is>
      </c>
      <c r="B15" s="178" t="n">
        <v>0.45</v>
      </c>
      <c r="C15" s="141" t="inlineStr">
        <is>
          <t>Target female representation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2026-05-11T20:35:51Z</dcterms:created>
  <dcterms:modified xmlns:dcterms="http://purl.org/dc/terms/" xmlns:xsi="http://www.w3.org/2001/XMLSchema-instance" xsi:type="dcterms:W3CDTF">2026-05-12T22:46:32Z</dcterms:modified>
  <cp:revision>0</cp:revision>
</cp:coreProperties>
</file>