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Dashboard" sheetId="1" state="visible" r:id="rId1"/>
    <sheet xmlns:r="http://schemas.openxmlformats.org/officeDocument/2006/relationships" name="Full Product List" sheetId="2" state="visible" r:id="rId2"/>
    <sheet xmlns:r="http://schemas.openxmlformats.org/officeDocument/2006/relationships" name="Low Stock Alerts" sheetId="3" state="visible" r:id="rId3"/>
    <sheet xmlns:r="http://schemas.openxmlformats.org/officeDocument/2006/relationships" name="Reorder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1F3864"/>
      <sz val="8"/>
    </font>
    <font>
      <name val="Arial"/>
      <b val="1"/>
      <color rgb="001F3864"/>
      <sz val="13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1E8449"/>
      <sz val="10"/>
    </font>
    <font>
      <name val="Arial"/>
      <b val="1"/>
      <color rgb="00FFFFFF"/>
      <sz val="14"/>
    </font>
    <font>
      <name val="Arial"/>
      <b val="1"/>
      <color rgb="002E5FA3"/>
      <sz val="10"/>
    </font>
    <font>
      <name val="Arial"/>
      <b val="1"/>
      <color rgb="00FFFFFF"/>
      <sz val="12"/>
    </font>
    <font>
      <name val="Arial"/>
      <b val="1"/>
      <color rgb="00F39C12"/>
      <sz val="10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8B0000"/>
      </patternFill>
    </fill>
    <fill>
      <patternFill patternType="solid">
        <fgColor rgb="00F39C12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" fontId="5" fillId="5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00C0392B"/>
      </font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 ht="50" customHeight="1">
      <c r="A1" s="1" t="inlineStr">
        <is>
          <t>ABC Store — Product Inventory Management 2026</t>
        </is>
      </c>
    </row>
    <row r="2" ht="20" customHeight="1">
      <c r="A2" s="2" t="inlineStr">
        <is>
          <t>Farhan Siddique | Virtual Assistant &amp; Data Specialist | May 2026</t>
        </is>
      </c>
    </row>
    <row r="4" ht="22" customHeight="1">
      <c r="A4" s="3" t="inlineStr">
        <is>
          <t>INVENTORY KEY METRICS</t>
        </is>
      </c>
    </row>
    <row r="5" ht="18" customHeight="1">
      <c r="A5" s="4" t="inlineStr">
        <is>
          <t>Total SKUs</t>
        </is>
      </c>
      <c r="B5" s="4" t="inlineStr">
        <is>
          <t>Total Units</t>
        </is>
      </c>
      <c r="C5" s="4" t="inlineStr">
        <is>
          <t>Low Stock Items</t>
        </is>
      </c>
      <c r="D5" s="4" t="inlineStr">
        <is>
          <t>Out of Stock</t>
        </is>
      </c>
      <c r="E5" s="4" t="inlineStr">
        <is>
          <t>Total Cost Value</t>
        </is>
      </c>
      <c r="F5" s="4" t="inlineStr">
        <is>
          <t>Total Retail Value</t>
        </is>
      </c>
      <c r="G5" s="4" t="inlineStr">
        <is>
          <t>Avg Margin %</t>
        </is>
      </c>
      <c r="H5" s="4" t="inlineStr">
        <is>
          <t>Categories</t>
        </is>
      </c>
    </row>
    <row r="6" ht="32" customHeight="1">
      <c r="A6" s="5" t="n">
        <v>80</v>
      </c>
      <c r="B6" s="5" t="n">
        <v>3539</v>
      </c>
      <c r="C6" s="5" t="n">
        <v>0</v>
      </c>
      <c r="D6" s="5" t="n">
        <v>0</v>
      </c>
      <c r="E6" s="6" t="n">
        <v>10992.4</v>
      </c>
      <c r="F6" s="6" t="n">
        <v>28548.56</v>
      </c>
      <c r="G6" s="7" t="n">
        <v>0.6238210050957249</v>
      </c>
      <c r="H6" s="5" t="n">
        <v>6</v>
      </c>
    </row>
    <row r="8" ht="22" customHeight="1">
      <c r="A8" s="3" t="inlineStr">
        <is>
          <t>STOCK SUMMARY BY CATEGORY</t>
        </is>
      </c>
    </row>
    <row r="9" ht="22" customHeight="1">
      <c r="A9" s="8" t="inlineStr">
        <is>
          <t>Category</t>
        </is>
      </c>
      <c r="B9" s="8" t="inlineStr">
        <is>
          <t># SKUs</t>
        </is>
      </c>
      <c r="C9" s="8" t="inlineStr">
        <is>
          <t>Total Units</t>
        </is>
      </c>
      <c r="D9" s="8" t="inlineStr">
        <is>
          <t>Low Stock</t>
        </is>
      </c>
      <c r="E9" s="8" t="inlineStr">
        <is>
          <t>Cost Value</t>
        </is>
      </c>
      <c r="F9" s="8" t="inlineStr">
        <is>
          <t>Retail Value</t>
        </is>
      </c>
      <c r="G9" s="8" t="inlineStr">
        <is>
          <t>Avg Margin</t>
        </is>
      </c>
      <c r="H9" s="8" t="inlineStr">
        <is>
          <t>Margin $</t>
        </is>
      </c>
      <c r="I9" s="8" t="inlineStr">
        <is>
          <t>Status</t>
        </is>
      </c>
    </row>
    <row r="10" ht="20" customHeight="1">
      <c r="A10" s="9" t="inlineStr">
        <is>
          <t>Cleaning</t>
        </is>
      </c>
      <c r="B10" s="10" t="n">
        <v>8</v>
      </c>
      <c r="C10" s="10" t="n">
        <v>298</v>
      </c>
      <c r="D10" s="10" t="n">
        <v>0</v>
      </c>
      <c r="E10" s="11" t="n">
        <v>861.5</v>
      </c>
      <c r="F10" s="11" t="n">
        <v>2204.3</v>
      </c>
      <c r="G10" s="12" t="n">
        <v>0.6091729800843805</v>
      </c>
      <c r="H10" s="13" t="n">
        <v>1342.8</v>
      </c>
      <c r="I10" s="14" t="inlineStr">
        <is>
          <t>Good</t>
        </is>
      </c>
    </row>
    <row r="11" ht="20" customHeight="1">
      <c r="A11" s="15" t="inlineStr">
        <is>
          <t>Office Equipment</t>
        </is>
      </c>
      <c r="B11" s="16" t="n">
        <v>14</v>
      </c>
      <c r="C11" s="16" t="n">
        <v>516</v>
      </c>
      <c r="D11" s="16" t="n">
        <v>0</v>
      </c>
      <c r="E11" s="17" t="n">
        <v>1626</v>
      </c>
      <c r="F11" s="17" t="n">
        <v>4276.49</v>
      </c>
      <c r="G11" s="18" t="n">
        <v>0.6197816433570521</v>
      </c>
      <c r="H11" s="13" t="n">
        <v>2650.49</v>
      </c>
      <c r="I11" s="14" t="inlineStr">
        <is>
          <t>Good</t>
        </is>
      </c>
    </row>
    <row r="12" ht="20" customHeight="1">
      <c r="A12" s="9" t="inlineStr">
        <is>
          <t>Packaging</t>
        </is>
      </c>
      <c r="B12" s="10" t="n">
        <v>10</v>
      </c>
      <c r="C12" s="10" t="n">
        <v>605</v>
      </c>
      <c r="D12" s="10" t="n">
        <v>0</v>
      </c>
      <c r="E12" s="11" t="n">
        <v>1326.5</v>
      </c>
      <c r="F12" s="11" t="n">
        <v>3509.65</v>
      </c>
      <c r="G12" s="12" t="n">
        <v>0.6220420839684869</v>
      </c>
      <c r="H12" s="13" t="n">
        <v>2183.15</v>
      </c>
      <c r="I12" s="14" t="inlineStr">
        <is>
          <t>Good</t>
        </is>
      </c>
    </row>
    <row r="13" ht="20" customHeight="1">
      <c r="A13" s="15" t="inlineStr">
        <is>
          <t>Printer Supplies</t>
        </is>
      </c>
      <c r="B13" s="16" t="n">
        <v>4</v>
      </c>
      <c r="C13" s="16" t="n">
        <v>62</v>
      </c>
      <c r="D13" s="16" t="n">
        <v>0</v>
      </c>
      <c r="E13" s="17" t="n">
        <v>1014</v>
      </c>
      <c r="F13" s="17" t="n">
        <v>2341.38</v>
      </c>
      <c r="G13" s="18" t="n">
        <v>0.5669220715988007</v>
      </c>
      <c r="H13" s="13" t="n">
        <v>1327.38</v>
      </c>
      <c r="I13" s="14" t="inlineStr">
        <is>
          <t>Good</t>
        </is>
      </c>
    </row>
    <row r="14" ht="20" customHeight="1">
      <c r="A14" s="9" t="inlineStr">
        <is>
          <t>Stationery</t>
        </is>
      </c>
      <c r="B14" s="10" t="n">
        <v>26</v>
      </c>
      <c r="C14" s="10" t="n">
        <v>1591</v>
      </c>
      <c r="D14" s="10" t="n">
        <v>0</v>
      </c>
      <c r="E14" s="11" t="n">
        <v>3337.1</v>
      </c>
      <c r="F14" s="11" t="n">
        <v>8683.41</v>
      </c>
      <c r="G14" s="12" t="n">
        <v>0.6156924526194202</v>
      </c>
      <c r="H14" s="13" t="n">
        <v>5346.309999999999</v>
      </c>
      <c r="I14" s="14" t="inlineStr">
        <is>
          <t>Good</t>
        </is>
      </c>
    </row>
    <row r="15" ht="20" customHeight="1">
      <c r="A15" s="15" t="inlineStr">
        <is>
          <t>Technology</t>
        </is>
      </c>
      <c r="B15" s="16" t="n">
        <v>18</v>
      </c>
      <c r="C15" s="16" t="n">
        <v>467</v>
      </c>
      <c r="D15" s="16" t="n">
        <v>0</v>
      </c>
      <c r="E15" s="17" t="n">
        <v>2827.3</v>
      </c>
      <c r="F15" s="17" t="n">
        <v>7533.33</v>
      </c>
      <c r="G15" s="18" t="n">
        <v>0.6246945242011169</v>
      </c>
      <c r="H15" s="13" t="n">
        <v>4706.03</v>
      </c>
      <c r="I15" s="14" t="inlineStr">
        <is>
          <t>Good</t>
        </is>
      </c>
    </row>
  </sheetData>
  <mergeCells count="4">
    <mergeCell ref="A1:I1"/>
    <mergeCell ref="A4:I4"/>
    <mergeCell ref="A8:I8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16" customWidth="1" min="3" max="3"/>
    <col width="22" customWidth="1" min="4" max="4"/>
    <col width="13" customWidth="1" min="5" max="5"/>
    <col width="13" customWidth="1" min="6" max="6"/>
    <col width="10" customWidth="1" min="7" max="7"/>
    <col width="10" customWidth="1" min="8" max="8"/>
    <col width="11" customWidth="1" min="9" max="9"/>
    <col width="11" customWidth="1" min="10" max="10"/>
    <col width="13" customWidth="1" min="11" max="11"/>
    <col width="12" customWidth="1" min="12" max="12"/>
    <col width="10" customWidth="1" min="13" max="13"/>
  </cols>
  <sheetData>
    <row r="1" ht="40" customHeight="1">
      <c r="A1" s="19" t="inlineStr">
        <is>
          <t>ABC Store — Complete Product Inventory (80 SKUs)</t>
        </is>
      </c>
    </row>
    <row r="2" ht="18" customHeight="1">
      <c r="A2" s="2" t="inlineStr">
        <is>
          <t>Farhan Siddique | Virtual Assistant &amp; Data Specialist | May 2026</t>
        </is>
      </c>
    </row>
    <row r="4" ht="22" customHeight="1">
      <c r="A4" s="20" t="inlineStr">
        <is>
          <t>SKU</t>
        </is>
      </c>
      <c r="B4" s="20" t="inlineStr">
        <is>
          <t>Product Name</t>
        </is>
      </c>
      <c r="C4" s="20" t="inlineStr">
        <is>
          <t>Category</t>
        </is>
      </c>
      <c r="D4" s="20" t="inlineStr">
        <is>
          <t>Supplier</t>
        </is>
      </c>
      <c r="E4" s="20" t="inlineStr">
        <is>
          <t>Cost Price ($)</t>
        </is>
      </c>
      <c r="F4" s="20" t="inlineStr">
        <is>
          <t>Sell Price ($)</t>
        </is>
      </c>
      <c r="G4" s="20" t="inlineStr">
        <is>
          <t>Stock Qty</t>
        </is>
      </c>
      <c r="H4" s="20" t="inlineStr">
        <is>
          <t>Min Stock</t>
        </is>
      </c>
      <c r="I4" s="20" t="inlineStr">
        <is>
          <t>Reorder Qty</t>
        </is>
      </c>
      <c r="J4" s="20" t="inlineStr">
        <is>
          <t>Storage Loc</t>
        </is>
      </c>
      <c r="K4" s="20" t="inlineStr">
        <is>
          <t>Stock Value</t>
        </is>
      </c>
      <c r="L4" s="20" t="inlineStr">
        <is>
          <t>Profit/Unit</t>
        </is>
      </c>
      <c r="M4" s="20" t="inlineStr">
        <is>
          <t>Margin %</t>
        </is>
      </c>
    </row>
    <row r="5" ht="18" customHeight="1">
      <c r="A5" s="21" t="inlineStr">
        <is>
          <t>SKU-001</t>
        </is>
      </c>
      <c r="B5" s="22" t="inlineStr">
        <is>
          <t>Ballpoint Pen (Blue) - Box of 50</t>
        </is>
      </c>
      <c r="C5" s="10" t="inlineStr">
        <is>
          <t>Stationery</t>
        </is>
      </c>
      <c r="D5" s="22" t="inlineStr">
        <is>
          <t>Office Plus Supply Co.</t>
        </is>
      </c>
      <c r="E5" s="11" t="n">
        <v>3.5</v>
      </c>
      <c r="F5" s="11" t="n">
        <v>8.99</v>
      </c>
      <c r="G5" s="23" t="n">
        <v>45</v>
      </c>
      <c r="H5" s="23" t="n">
        <v>20</v>
      </c>
      <c r="I5" s="23" t="n">
        <v>50</v>
      </c>
      <c r="J5" s="10" t="inlineStr">
        <is>
          <t>A1-01</t>
        </is>
      </c>
      <c r="K5" s="24">
        <f>G5*E5</f>
        <v/>
      </c>
      <c r="L5" s="13">
        <f>F5-E5</f>
        <v/>
      </c>
      <c r="M5" s="25">
        <f>IF(F5&gt;0,(F5-E5)/F5,0)</f>
        <v/>
      </c>
    </row>
    <row r="6" ht="18" customHeight="1">
      <c r="A6" s="26" t="inlineStr">
        <is>
          <t>SKU-002</t>
        </is>
      </c>
      <c r="B6" s="27" t="inlineStr">
        <is>
          <t>Ballpoint Pen (Black) - Box of 50</t>
        </is>
      </c>
      <c r="C6" s="16" t="inlineStr">
        <is>
          <t>Stationery</t>
        </is>
      </c>
      <c r="D6" s="27" t="inlineStr">
        <is>
          <t>Office Plus Supply Co.</t>
        </is>
      </c>
      <c r="E6" s="17" t="n">
        <v>3.5</v>
      </c>
      <c r="F6" s="17" t="n">
        <v>8.99</v>
      </c>
      <c r="G6" s="28" t="n">
        <v>38</v>
      </c>
      <c r="H6" s="28" t="n">
        <v>20</v>
      </c>
      <c r="I6" s="28" t="n">
        <v>50</v>
      </c>
      <c r="J6" s="16" t="inlineStr">
        <is>
          <t>A1-02</t>
        </is>
      </c>
      <c r="K6" s="24">
        <f>G6*E6</f>
        <v/>
      </c>
      <c r="L6" s="13">
        <f>F6-E6</f>
        <v/>
      </c>
      <c r="M6" s="25">
        <f>IF(F6&gt;0,(F6-E6)/F6,0)</f>
        <v/>
      </c>
    </row>
    <row r="7" ht="18" customHeight="1">
      <c r="A7" s="21" t="inlineStr">
        <is>
          <t>SKU-003</t>
        </is>
      </c>
      <c r="B7" s="22" t="inlineStr">
        <is>
          <t>A4 Printer Paper - 500 Sheets</t>
        </is>
      </c>
      <c r="C7" s="10" t="inlineStr">
        <is>
          <t>Stationery</t>
        </is>
      </c>
      <c r="D7" s="22" t="inlineStr">
        <is>
          <t>PaperWorld Ltd</t>
        </is>
      </c>
      <c r="E7" s="11" t="n">
        <v>4.2</v>
      </c>
      <c r="F7" s="11" t="n">
        <v>9.5</v>
      </c>
      <c r="G7" s="23" t="n">
        <v>80</v>
      </c>
      <c r="H7" s="23" t="n">
        <v>30</v>
      </c>
      <c r="I7" s="23" t="n">
        <v>100</v>
      </c>
      <c r="J7" s="10" t="inlineStr">
        <is>
          <t>A2-01</t>
        </is>
      </c>
      <c r="K7" s="24">
        <f>G7*E7</f>
        <v/>
      </c>
      <c r="L7" s="13">
        <f>F7-E7</f>
        <v/>
      </c>
      <c r="M7" s="25">
        <f>IF(F7&gt;0,(F7-E7)/F7,0)</f>
        <v/>
      </c>
    </row>
    <row r="8" ht="18" customHeight="1">
      <c r="A8" s="26" t="inlineStr">
        <is>
          <t>SKU-004</t>
        </is>
      </c>
      <c r="B8" s="27" t="inlineStr">
        <is>
          <t>A4 Printer Paper - 1000 Sheets</t>
        </is>
      </c>
      <c r="C8" s="16" t="inlineStr">
        <is>
          <t>Stationery</t>
        </is>
      </c>
      <c r="D8" s="27" t="inlineStr">
        <is>
          <t>PaperWorld Ltd</t>
        </is>
      </c>
      <c r="E8" s="17" t="n">
        <v>7.8</v>
      </c>
      <c r="F8" s="17" t="n">
        <v>16.99</v>
      </c>
      <c r="G8" s="28" t="n">
        <v>55</v>
      </c>
      <c r="H8" s="28" t="n">
        <v>20</v>
      </c>
      <c r="I8" s="28" t="n">
        <v>60</v>
      </c>
      <c r="J8" s="16" t="inlineStr">
        <is>
          <t>A2-02</t>
        </is>
      </c>
      <c r="K8" s="24">
        <f>G8*E8</f>
        <v/>
      </c>
      <c r="L8" s="13">
        <f>F8-E8</f>
        <v/>
      </c>
      <c r="M8" s="25">
        <f>IF(F8&gt;0,(F8-E8)/F8,0)</f>
        <v/>
      </c>
    </row>
    <row r="9" ht="18" customHeight="1">
      <c r="A9" s="21" t="inlineStr">
        <is>
          <t>SKU-005</t>
        </is>
      </c>
      <c r="B9" s="22" t="inlineStr">
        <is>
          <t>Sticky Notes (Neon) - Pack of 6</t>
        </is>
      </c>
      <c r="C9" s="10" t="inlineStr">
        <is>
          <t>Stationery</t>
        </is>
      </c>
      <c r="D9" s="22" t="inlineStr">
        <is>
          <t>Office Plus Supply Co.</t>
        </is>
      </c>
      <c r="E9" s="11" t="n">
        <v>1.8</v>
      </c>
      <c r="F9" s="11" t="n">
        <v>4.5</v>
      </c>
      <c r="G9" s="23" t="n">
        <v>90</v>
      </c>
      <c r="H9" s="23" t="n">
        <v>40</v>
      </c>
      <c r="I9" s="23" t="n">
        <v>80</v>
      </c>
      <c r="J9" s="10" t="inlineStr">
        <is>
          <t>A1-03</t>
        </is>
      </c>
      <c r="K9" s="24">
        <f>G9*E9</f>
        <v/>
      </c>
      <c r="L9" s="13">
        <f>F9-E9</f>
        <v/>
      </c>
      <c r="M9" s="25">
        <f>IF(F9&gt;0,(F9-E9)/F9,0)</f>
        <v/>
      </c>
    </row>
    <row r="10" ht="18" customHeight="1">
      <c r="A10" s="26" t="inlineStr">
        <is>
          <t>SKU-006</t>
        </is>
      </c>
      <c r="B10" s="27" t="inlineStr">
        <is>
          <t>Sticky Notes (Pastel) - Pack of 6</t>
        </is>
      </c>
      <c r="C10" s="16" t="inlineStr">
        <is>
          <t>Stationery</t>
        </is>
      </c>
      <c r="D10" s="27" t="inlineStr">
        <is>
          <t>Office Plus Supply Co.</t>
        </is>
      </c>
      <c r="E10" s="17" t="n">
        <v>1.8</v>
      </c>
      <c r="F10" s="17" t="n">
        <v>4.5</v>
      </c>
      <c r="G10" s="28" t="n">
        <v>72</v>
      </c>
      <c r="H10" s="28" t="n">
        <v>40</v>
      </c>
      <c r="I10" s="28" t="n">
        <v>80</v>
      </c>
      <c r="J10" s="16" t="inlineStr">
        <is>
          <t>A1-04</t>
        </is>
      </c>
      <c r="K10" s="24">
        <f>G10*E10</f>
        <v/>
      </c>
      <c r="L10" s="13">
        <f>F10-E10</f>
        <v/>
      </c>
      <c r="M10" s="25">
        <f>IF(F10&gt;0,(F10-E10)/F10,0)</f>
        <v/>
      </c>
    </row>
    <row r="11" ht="18" customHeight="1">
      <c r="A11" s="21" t="inlineStr">
        <is>
          <t>SKU-007</t>
        </is>
      </c>
      <c r="B11" s="22" t="inlineStr">
        <is>
          <t>Highlighter Set - 5 Colors</t>
        </is>
      </c>
      <c r="C11" s="10" t="inlineStr">
        <is>
          <t>Stationery</t>
        </is>
      </c>
      <c r="D11" s="22" t="inlineStr">
        <is>
          <t>ColorBrite Inc.</t>
        </is>
      </c>
      <c r="E11" s="11" t="n">
        <v>2.1</v>
      </c>
      <c r="F11" s="11" t="n">
        <v>5.99</v>
      </c>
      <c r="G11" s="23" t="n">
        <v>65</v>
      </c>
      <c r="H11" s="23" t="n">
        <v>25</v>
      </c>
      <c r="I11" s="23" t="n">
        <v>60</v>
      </c>
      <c r="J11" s="10" t="inlineStr">
        <is>
          <t>A1-05</t>
        </is>
      </c>
      <c r="K11" s="24">
        <f>G11*E11</f>
        <v/>
      </c>
      <c r="L11" s="13">
        <f>F11-E11</f>
        <v/>
      </c>
      <c r="M11" s="25">
        <f>IF(F11&gt;0,(F11-E11)/F11,0)</f>
        <v/>
      </c>
    </row>
    <row r="12" ht="18" customHeight="1">
      <c r="A12" s="26" t="inlineStr">
        <is>
          <t>SKU-008</t>
        </is>
      </c>
      <c r="B12" s="27" t="inlineStr">
        <is>
          <t>Spiral Notebook - A5</t>
        </is>
      </c>
      <c r="C12" s="16" t="inlineStr">
        <is>
          <t>Stationery</t>
        </is>
      </c>
      <c r="D12" s="27" t="inlineStr">
        <is>
          <t>Office Plus Supply Co.</t>
        </is>
      </c>
      <c r="E12" s="17" t="n">
        <v>1.5</v>
      </c>
      <c r="F12" s="17" t="n">
        <v>3.99</v>
      </c>
      <c r="G12" s="28" t="n">
        <v>110</v>
      </c>
      <c r="H12" s="28" t="n">
        <v>50</v>
      </c>
      <c r="I12" s="28" t="n">
        <v>100</v>
      </c>
      <c r="J12" s="16" t="inlineStr">
        <is>
          <t>A1-06</t>
        </is>
      </c>
      <c r="K12" s="24">
        <f>G12*E12</f>
        <v/>
      </c>
      <c r="L12" s="13">
        <f>F12-E12</f>
        <v/>
      </c>
      <c r="M12" s="25">
        <f>IF(F12&gt;0,(F12-E12)/F12,0)</f>
        <v/>
      </c>
    </row>
    <row r="13" ht="18" customHeight="1">
      <c r="A13" s="21" t="inlineStr">
        <is>
          <t>SKU-009</t>
        </is>
      </c>
      <c r="B13" s="22" t="inlineStr">
        <is>
          <t>Spiral Notebook - A4</t>
        </is>
      </c>
      <c r="C13" s="10" t="inlineStr">
        <is>
          <t>Stationery</t>
        </is>
      </c>
      <c r="D13" s="22" t="inlineStr">
        <is>
          <t>Office Plus Supply Co.</t>
        </is>
      </c>
      <c r="E13" s="11" t="n">
        <v>2.2</v>
      </c>
      <c r="F13" s="11" t="n">
        <v>5.49</v>
      </c>
      <c r="G13" s="23" t="n">
        <v>88</v>
      </c>
      <c r="H13" s="23" t="n">
        <v>40</v>
      </c>
      <c r="I13" s="23" t="n">
        <v>80</v>
      </c>
      <c r="J13" s="10" t="inlineStr">
        <is>
          <t>A1-07</t>
        </is>
      </c>
      <c r="K13" s="24">
        <f>G13*E13</f>
        <v/>
      </c>
      <c r="L13" s="13">
        <f>F13-E13</f>
        <v/>
      </c>
      <c r="M13" s="25">
        <f>IF(F13&gt;0,(F13-E13)/F13,0)</f>
        <v/>
      </c>
    </row>
    <row r="14" ht="18" customHeight="1">
      <c r="A14" s="26" t="inlineStr">
        <is>
          <t>SKU-010</t>
        </is>
      </c>
      <c r="B14" s="27" t="inlineStr">
        <is>
          <t>Manila Folder - Pack of 25</t>
        </is>
      </c>
      <c r="C14" s="16" t="inlineStr">
        <is>
          <t>Stationery</t>
        </is>
      </c>
      <c r="D14" s="27" t="inlineStr">
        <is>
          <t>PaperWorld Ltd</t>
        </is>
      </c>
      <c r="E14" s="17" t="n">
        <v>3.2</v>
      </c>
      <c r="F14" s="17" t="n">
        <v>7.5</v>
      </c>
      <c r="G14" s="28" t="n">
        <v>42</v>
      </c>
      <c r="H14" s="28" t="n">
        <v>20</v>
      </c>
      <c r="I14" s="28" t="n">
        <v>50</v>
      </c>
      <c r="J14" s="16" t="inlineStr">
        <is>
          <t>A2-03</t>
        </is>
      </c>
      <c r="K14" s="24">
        <f>G14*E14</f>
        <v/>
      </c>
      <c r="L14" s="13">
        <f>F14-E14</f>
        <v/>
      </c>
      <c r="M14" s="25">
        <f>IF(F14&gt;0,(F14-E14)/F14,0)</f>
        <v/>
      </c>
    </row>
    <row r="15" ht="18" customHeight="1">
      <c r="A15" s="21" t="inlineStr">
        <is>
          <t>SKU-011</t>
        </is>
      </c>
      <c r="B15" s="22" t="inlineStr">
        <is>
          <t>Stapler (Heavy Duty)</t>
        </is>
      </c>
      <c r="C15" s="10" t="inlineStr">
        <is>
          <t>Office Equipment</t>
        </is>
      </c>
      <c r="D15" s="22" t="inlineStr">
        <is>
          <t>TechOffice Supplies</t>
        </is>
      </c>
      <c r="E15" s="11" t="n">
        <v>8</v>
      </c>
      <c r="F15" s="11" t="n">
        <v>18.99</v>
      </c>
      <c r="G15" s="23" t="n">
        <v>28</v>
      </c>
      <c r="H15" s="23" t="n">
        <v>10</v>
      </c>
      <c r="I15" s="23" t="n">
        <v>20</v>
      </c>
      <c r="J15" s="10" t="inlineStr">
        <is>
          <t>B1-01</t>
        </is>
      </c>
      <c r="K15" s="24">
        <f>G15*E15</f>
        <v/>
      </c>
      <c r="L15" s="13">
        <f>F15-E15</f>
        <v/>
      </c>
      <c r="M15" s="25">
        <f>IF(F15&gt;0,(F15-E15)/F15,0)</f>
        <v/>
      </c>
    </row>
    <row r="16" ht="18" customHeight="1">
      <c r="A16" s="26" t="inlineStr">
        <is>
          <t>SKU-012</t>
        </is>
      </c>
      <c r="B16" s="27" t="inlineStr">
        <is>
          <t>Stapler (Standard)</t>
        </is>
      </c>
      <c r="C16" s="16" t="inlineStr">
        <is>
          <t>Office Equipment</t>
        </is>
      </c>
      <c r="D16" s="27" t="inlineStr">
        <is>
          <t>TechOffice Supplies</t>
        </is>
      </c>
      <c r="E16" s="17" t="n">
        <v>4.5</v>
      </c>
      <c r="F16" s="17" t="n">
        <v>10.99</v>
      </c>
      <c r="G16" s="28" t="n">
        <v>35</v>
      </c>
      <c r="H16" s="28" t="n">
        <v>15</v>
      </c>
      <c r="I16" s="28" t="n">
        <v>25</v>
      </c>
      <c r="J16" s="16" t="inlineStr">
        <is>
          <t>B1-02</t>
        </is>
      </c>
      <c r="K16" s="24">
        <f>G16*E16</f>
        <v/>
      </c>
      <c r="L16" s="13">
        <f>F16-E16</f>
        <v/>
      </c>
      <c r="M16" s="25">
        <f>IF(F16&gt;0,(F16-E16)/F16,0)</f>
        <v/>
      </c>
    </row>
    <row r="17" ht="18" customHeight="1">
      <c r="A17" s="21" t="inlineStr">
        <is>
          <t>SKU-013</t>
        </is>
      </c>
      <c r="B17" s="22" t="inlineStr">
        <is>
          <t>Staples - Box of 5000</t>
        </is>
      </c>
      <c r="C17" s="10" t="inlineStr">
        <is>
          <t>Office Equipment</t>
        </is>
      </c>
      <c r="D17" s="22" t="inlineStr">
        <is>
          <t>TechOffice Supplies</t>
        </is>
      </c>
      <c r="E17" s="11" t="n">
        <v>1.2</v>
      </c>
      <c r="F17" s="11" t="n">
        <v>3.99</v>
      </c>
      <c r="G17" s="23" t="n">
        <v>95</v>
      </c>
      <c r="H17" s="23" t="n">
        <v>40</v>
      </c>
      <c r="I17" s="23" t="n">
        <v>100</v>
      </c>
      <c r="J17" s="10" t="inlineStr">
        <is>
          <t>B1-03</t>
        </is>
      </c>
      <c r="K17" s="24">
        <f>G17*E17</f>
        <v/>
      </c>
      <c r="L17" s="13">
        <f>F17-E17</f>
        <v/>
      </c>
      <c r="M17" s="25">
        <f>IF(F17&gt;0,(F17-E17)/F17,0)</f>
        <v/>
      </c>
    </row>
    <row r="18" ht="18" customHeight="1">
      <c r="A18" s="26" t="inlineStr">
        <is>
          <t>SKU-014</t>
        </is>
      </c>
      <c r="B18" s="27" t="inlineStr">
        <is>
          <t>Scissors (Large)</t>
        </is>
      </c>
      <c r="C18" s="16" t="inlineStr">
        <is>
          <t>Office Equipment</t>
        </is>
      </c>
      <c r="D18" s="27" t="inlineStr">
        <is>
          <t>TechOffice Supplies</t>
        </is>
      </c>
      <c r="E18" s="17" t="n">
        <v>3</v>
      </c>
      <c r="F18" s="17" t="n">
        <v>7.99</v>
      </c>
      <c r="G18" s="28" t="n">
        <v>22</v>
      </c>
      <c r="H18" s="28" t="n">
        <v>10</v>
      </c>
      <c r="I18" s="28" t="n">
        <v>20</v>
      </c>
      <c r="J18" s="16" t="inlineStr">
        <is>
          <t>B1-04</t>
        </is>
      </c>
      <c r="K18" s="24">
        <f>G18*E18</f>
        <v/>
      </c>
      <c r="L18" s="13">
        <f>F18-E18</f>
        <v/>
      </c>
      <c r="M18" s="25">
        <f>IF(F18&gt;0,(F18-E18)/F18,0)</f>
        <v/>
      </c>
    </row>
    <row r="19" ht="18" customHeight="1">
      <c r="A19" s="21" t="inlineStr">
        <is>
          <t>SKU-015</t>
        </is>
      </c>
      <c r="B19" s="22" t="inlineStr">
        <is>
          <t>Scissors (Small)</t>
        </is>
      </c>
      <c r="C19" s="10" t="inlineStr">
        <is>
          <t>Office Equipment</t>
        </is>
      </c>
      <c r="D19" s="22" t="inlineStr">
        <is>
          <t>TechOffice Supplies</t>
        </is>
      </c>
      <c r="E19" s="11" t="n">
        <v>2</v>
      </c>
      <c r="F19" s="11" t="n">
        <v>5.49</v>
      </c>
      <c r="G19" s="23" t="n">
        <v>19</v>
      </c>
      <c r="H19" s="23" t="n">
        <v>10</v>
      </c>
      <c r="I19" s="23" t="n">
        <v>20</v>
      </c>
      <c r="J19" s="10" t="inlineStr">
        <is>
          <t>B1-05</t>
        </is>
      </c>
      <c r="K19" s="24">
        <f>G19*E19</f>
        <v/>
      </c>
      <c r="L19" s="13">
        <f>F19-E19</f>
        <v/>
      </c>
      <c r="M19" s="25">
        <f>IF(F19&gt;0,(F19-E19)/F19,0)</f>
        <v/>
      </c>
    </row>
    <row r="20" ht="18" customHeight="1">
      <c r="A20" s="26" t="inlineStr">
        <is>
          <t>SKU-016</t>
        </is>
      </c>
      <c r="B20" s="27" t="inlineStr">
        <is>
          <t>Tape Dispenser</t>
        </is>
      </c>
      <c r="C20" s="16" t="inlineStr">
        <is>
          <t>Office Equipment</t>
        </is>
      </c>
      <c r="D20" s="27" t="inlineStr">
        <is>
          <t>TechOffice Supplies</t>
        </is>
      </c>
      <c r="E20" s="17" t="n">
        <v>5.5</v>
      </c>
      <c r="F20" s="17" t="n">
        <v>12.99</v>
      </c>
      <c r="G20" s="28" t="n">
        <v>17</v>
      </c>
      <c r="H20" s="28" t="n">
        <v>8</v>
      </c>
      <c r="I20" s="28" t="n">
        <v>15</v>
      </c>
      <c r="J20" s="16" t="inlineStr">
        <is>
          <t>B1-06</t>
        </is>
      </c>
      <c r="K20" s="24">
        <f>G20*E20</f>
        <v/>
      </c>
      <c r="L20" s="13">
        <f>F20-E20</f>
        <v/>
      </c>
      <c r="M20" s="25">
        <f>IF(F20&gt;0,(F20-E20)/F20,0)</f>
        <v/>
      </c>
    </row>
    <row r="21" ht="18" customHeight="1">
      <c r="A21" s="21" t="inlineStr">
        <is>
          <t>SKU-017</t>
        </is>
      </c>
      <c r="B21" s="22" t="inlineStr">
        <is>
          <t>Scotch Tape Roll - Pack of 3</t>
        </is>
      </c>
      <c r="C21" s="10" t="inlineStr">
        <is>
          <t>Office Equipment</t>
        </is>
      </c>
      <c r="D21" s="22" t="inlineStr">
        <is>
          <t>TechOffice Supplies</t>
        </is>
      </c>
      <c r="E21" s="11" t="n">
        <v>1.5</v>
      </c>
      <c r="F21" s="11" t="n">
        <v>4.5</v>
      </c>
      <c r="G21" s="23" t="n">
        <v>65</v>
      </c>
      <c r="H21" s="23" t="n">
        <v>25</v>
      </c>
      <c r="I21" s="23" t="n">
        <v>50</v>
      </c>
      <c r="J21" s="10" t="inlineStr">
        <is>
          <t>B1-07</t>
        </is>
      </c>
      <c r="K21" s="24">
        <f>G21*E21</f>
        <v/>
      </c>
      <c r="L21" s="13">
        <f>F21-E21</f>
        <v/>
      </c>
      <c r="M21" s="25">
        <f>IF(F21&gt;0,(F21-E21)/F21,0)</f>
        <v/>
      </c>
    </row>
    <row r="22" ht="18" customHeight="1">
      <c r="A22" s="26" t="inlineStr">
        <is>
          <t>SKU-018</t>
        </is>
      </c>
      <c r="B22" s="27" t="inlineStr">
        <is>
          <t>Ruler - 30cm Plastic</t>
        </is>
      </c>
      <c r="C22" s="16" t="inlineStr">
        <is>
          <t>Stationery</t>
        </is>
      </c>
      <c r="D22" s="27" t="inlineStr">
        <is>
          <t>Office Plus Supply Co.</t>
        </is>
      </c>
      <c r="E22" s="17" t="n">
        <v>0.8</v>
      </c>
      <c r="F22" s="17" t="n">
        <v>2.49</v>
      </c>
      <c r="G22" s="28" t="n">
        <v>55</v>
      </c>
      <c r="H22" s="28" t="n">
        <v>25</v>
      </c>
      <c r="I22" s="28" t="n">
        <v>50</v>
      </c>
      <c r="J22" s="16" t="inlineStr">
        <is>
          <t>A1-08</t>
        </is>
      </c>
      <c r="K22" s="24">
        <f>G22*E22</f>
        <v/>
      </c>
      <c r="L22" s="13">
        <f>F22-E22</f>
        <v/>
      </c>
      <c r="M22" s="25">
        <f>IF(F22&gt;0,(F22-E22)/F22,0)</f>
        <v/>
      </c>
    </row>
    <row r="23" ht="18" customHeight="1">
      <c r="A23" s="21" t="inlineStr">
        <is>
          <t>SKU-019</t>
        </is>
      </c>
      <c r="B23" s="22" t="inlineStr">
        <is>
          <t>Calculator (Basic)</t>
        </is>
      </c>
      <c r="C23" s="10" t="inlineStr">
        <is>
          <t>Office Equipment</t>
        </is>
      </c>
      <c r="D23" s="22" t="inlineStr">
        <is>
          <t>TechOffice Supplies</t>
        </is>
      </c>
      <c r="E23" s="11" t="n">
        <v>4.5</v>
      </c>
      <c r="F23" s="11" t="n">
        <v>11.99</v>
      </c>
      <c r="G23" s="23" t="n">
        <v>25</v>
      </c>
      <c r="H23" s="23" t="n">
        <v>10</v>
      </c>
      <c r="I23" s="23" t="n">
        <v>20</v>
      </c>
      <c r="J23" s="10" t="inlineStr">
        <is>
          <t>B2-01</t>
        </is>
      </c>
      <c r="K23" s="24">
        <f>G23*E23</f>
        <v/>
      </c>
      <c r="L23" s="13">
        <f>F23-E23</f>
        <v/>
      </c>
      <c r="M23" s="25">
        <f>IF(F23&gt;0,(F23-E23)/F23,0)</f>
        <v/>
      </c>
    </row>
    <row r="24" ht="18" customHeight="1">
      <c r="A24" s="26" t="inlineStr">
        <is>
          <t>SKU-020</t>
        </is>
      </c>
      <c r="B24" s="27" t="inlineStr">
        <is>
          <t>Calculator (Scientific)</t>
        </is>
      </c>
      <c r="C24" s="16" t="inlineStr">
        <is>
          <t>Office Equipment</t>
        </is>
      </c>
      <c r="D24" s="27" t="inlineStr">
        <is>
          <t>TechOffice Supplies</t>
        </is>
      </c>
      <c r="E24" s="17" t="n">
        <v>9.5</v>
      </c>
      <c r="F24" s="17" t="n">
        <v>22.99</v>
      </c>
      <c r="G24" s="28" t="n">
        <v>12</v>
      </c>
      <c r="H24" s="28" t="n">
        <v>5</v>
      </c>
      <c r="I24" s="28" t="n">
        <v>10</v>
      </c>
      <c r="J24" s="16" t="inlineStr">
        <is>
          <t>B2-02</t>
        </is>
      </c>
      <c r="K24" s="24">
        <f>G24*E24</f>
        <v/>
      </c>
      <c r="L24" s="13">
        <f>F24-E24</f>
        <v/>
      </c>
      <c r="M24" s="25">
        <f>IF(F24&gt;0,(F24-E24)/F24,0)</f>
        <v/>
      </c>
    </row>
    <row r="25" ht="18" customHeight="1">
      <c r="A25" s="21" t="inlineStr">
        <is>
          <t>SKU-021</t>
        </is>
      </c>
      <c r="B25" s="22" t="inlineStr">
        <is>
          <t>Ink Toner - Black (HP Compatible)</t>
        </is>
      </c>
      <c r="C25" s="10" t="inlineStr">
        <is>
          <t>Printer Supplies</t>
        </is>
      </c>
      <c r="D25" s="22" t="inlineStr">
        <is>
          <t>PrintMax Corp</t>
        </is>
      </c>
      <c r="E25" s="11" t="n">
        <v>22</v>
      </c>
      <c r="F25" s="11" t="n">
        <v>49.99</v>
      </c>
      <c r="G25" s="23" t="n">
        <v>18</v>
      </c>
      <c r="H25" s="23" t="n">
        <v>8</v>
      </c>
      <c r="I25" s="23" t="n">
        <v>15</v>
      </c>
      <c r="J25" s="10" t="inlineStr">
        <is>
          <t>C1-01</t>
        </is>
      </c>
      <c r="K25" s="24">
        <f>G25*E25</f>
        <v/>
      </c>
      <c r="L25" s="13">
        <f>F25-E25</f>
        <v/>
      </c>
      <c r="M25" s="25">
        <f>IF(F25&gt;0,(F25-E25)/F25,0)</f>
        <v/>
      </c>
    </row>
    <row r="26" ht="18" customHeight="1">
      <c r="A26" s="26" t="inlineStr">
        <is>
          <t>SKU-022</t>
        </is>
      </c>
      <c r="B26" s="27" t="inlineStr">
        <is>
          <t>Ink Toner - Color (HP Compatible)</t>
        </is>
      </c>
      <c r="C26" s="16" t="inlineStr">
        <is>
          <t>Printer Supplies</t>
        </is>
      </c>
      <c r="D26" s="27" t="inlineStr">
        <is>
          <t>PrintMax Corp</t>
        </is>
      </c>
      <c r="E26" s="17" t="n">
        <v>28</v>
      </c>
      <c r="F26" s="17" t="n">
        <v>64.98999999999999</v>
      </c>
      <c r="G26" s="28" t="n">
        <v>10</v>
      </c>
      <c r="H26" s="28" t="n">
        <v>5</v>
      </c>
      <c r="I26" s="28" t="n">
        <v>10</v>
      </c>
      <c r="J26" s="16" t="inlineStr">
        <is>
          <t>C1-02</t>
        </is>
      </c>
      <c r="K26" s="24">
        <f>G26*E26</f>
        <v/>
      </c>
      <c r="L26" s="13">
        <f>F26-E26</f>
        <v/>
      </c>
      <c r="M26" s="25">
        <f>IF(F26&gt;0,(F26-E26)/F26,0)</f>
        <v/>
      </c>
    </row>
    <row r="27" ht="18" customHeight="1">
      <c r="A27" s="21" t="inlineStr">
        <is>
          <t>SKU-023</t>
        </is>
      </c>
      <c r="B27" s="22" t="inlineStr">
        <is>
          <t>Ink Cartridge - Black (Epson)</t>
        </is>
      </c>
      <c r="C27" s="10" t="inlineStr">
        <is>
          <t>Printer Supplies</t>
        </is>
      </c>
      <c r="D27" s="22" t="inlineStr">
        <is>
          <t>PrintMax Corp</t>
        </is>
      </c>
      <c r="E27" s="11" t="n">
        <v>8.5</v>
      </c>
      <c r="F27" s="11" t="n">
        <v>19.99</v>
      </c>
      <c r="G27" s="23" t="n">
        <v>20</v>
      </c>
      <c r="H27" s="23" t="n">
        <v>8</v>
      </c>
      <c r="I27" s="23" t="n">
        <v>15</v>
      </c>
      <c r="J27" s="10" t="inlineStr">
        <is>
          <t>C1-03</t>
        </is>
      </c>
      <c r="K27" s="24">
        <f>G27*E27</f>
        <v/>
      </c>
      <c r="L27" s="13">
        <f>F27-E27</f>
        <v/>
      </c>
      <c r="M27" s="25">
        <f>IF(F27&gt;0,(F27-E27)/F27,0)</f>
        <v/>
      </c>
    </row>
    <row r="28" ht="18" customHeight="1">
      <c r="A28" s="26" t="inlineStr">
        <is>
          <t>SKU-024</t>
        </is>
      </c>
      <c r="B28" s="27" t="inlineStr">
        <is>
          <t>Ink Cartridge - Color (Epson)</t>
        </is>
      </c>
      <c r="C28" s="16" t="inlineStr">
        <is>
          <t>Printer Supplies</t>
        </is>
      </c>
      <c r="D28" s="27" t="inlineStr">
        <is>
          <t>PrintMax Corp</t>
        </is>
      </c>
      <c r="E28" s="17" t="n">
        <v>12</v>
      </c>
      <c r="F28" s="17" t="n">
        <v>27.99</v>
      </c>
      <c r="G28" s="28" t="n">
        <v>14</v>
      </c>
      <c r="H28" s="28" t="n">
        <v>6</v>
      </c>
      <c r="I28" s="28" t="n">
        <v>12</v>
      </c>
      <c r="J28" s="16" t="inlineStr">
        <is>
          <t>C1-04</t>
        </is>
      </c>
      <c r="K28" s="24">
        <f>G28*E28</f>
        <v/>
      </c>
      <c r="L28" s="13">
        <f>F28-E28</f>
        <v/>
      </c>
      <c r="M28" s="25">
        <f>IF(F28&gt;0,(F28-E28)/F28,0)</f>
        <v/>
      </c>
    </row>
    <row r="29" ht="18" customHeight="1">
      <c r="A29" s="21" t="inlineStr">
        <is>
          <t>SKU-025</t>
        </is>
      </c>
      <c r="B29" s="22" t="inlineStr">
        <is>
          <t>USB Flash Drive - 32GB</t>
        </is>
      </c>
      <c r="C29" s="10" t="inlineStr">
        <is>
          <t>Technology</t>
        </is>
      </c>
      <c r="D29" s="22" t="inlineStr">
        <is>
          <t>DigiTech Wholesale</t>
        </is>
      </c>
      <c r="E29" s="11" t="n">
        <v>4.5</v>
      </c>
      <c r="F29" s="11" t="n">
        <v>12.99</v>
      </c>
      <c r="G29" s="23" t="n">
        <v>40</v>
      </c>
      <c r="H29" s="23" t="n">
        <v>15</v>
      </c>
      <c r="I29" s="23" t="n">
        <v>30</v>
      </c>
      <c r="J29" s="10" t="inlineStr">
        <is>
          <t>D1-01</t>
        </is>
      </c>
      <c r="K29" s="24">
        <f>G29*E29</f>
        <v/>
      </c>
      <c r="L29" s="13">
        <f>F29-E29</f>
        <v/>
      </c>
      <c r="M29" s="25">
        <f>IF(F29&gt;0,(F29-E29)/F29,0)</f>
        <v/>
      </c>
    </row>
    <row r="30" ht="18" customHeight="1">
      <c r="A30" s="26" t="inlineStr">
        <is>
          <t>SKU-026</t>
        </is>
      </c>
      <c r="B30" s="27" t="inlineStr">
        <is>
          <t>USB Flash Drive - 64GB</t>
        </is>
      </c>
      <c r="C30" s="16" t="inlineStr">
        <is>
          <t>Technology</t>
        </is>
      </c>
      <c r="D30" s="27" t="inlineStr">
        <is>
          <t>DigiTech Wholesale</t>
        </is>
      </c>
      <c r="E30" s="17" t="n">
        <v>7</v>
      </c>
      <c r="F30" s="17" t="n">
        <v>18.99</v>
      </c>
      <c r="G30" s="28" t="n">
        <v>30</v>
      </c>
      <c r="H30" s="28" t="n">
        <v>12</v>
      </c>
      <c r="I30" s="28" t="n">
        <v>25</v>
      </c>
      <c r="J30" s="16" t="inlineStr">
        <is>
          <t>D1-02</t>
        </is>
      </c>
      <c r="K30" s="24">
        <f>G30*E30</f>
        <v/>
      </c>
      <c r="L30" s="13">
        <f>F30-E30</f>
        <v/>
      </c>
      <c r="M30" s="25">
        <f>IF(F30&gt;0,(F30-E30)/F30,0)</f>
        <v/>
      </c>
    </row>
    <row r="31" ht="18" customHeight="1">
      <c r="A31" s="21" t="inlineStr">
        <is>
          <t>SKU-027</t>
        </is>
      </c>
      <c r="B31" s="22" t="inlineStr">
        <is>
          <t>USB Flash Drive - 128GB</t>
        </is>
      </c>
      <c r="C31" s="10" t="inlineStr">
        <is>
          <t>Technology</t>
        </is>
      </c>
      <c r="D31" s="22" t="inlineStr">
        <is>
          <t>DigiTech Wholesale</t>
        </is>
      </c>
      <c r="E31" s="11" t="n">
        <v>12</v>
      </c>
      <c r="F31" s="11" t="n">
        <v>29.99</v>
      </c>
      <c r="G31" s="23" t="n">
        <v>22</v>
      </c>
      <c r="H31" s="23" t="n">
        <v>10</v>
      </c>
      <c r="I31" s="23" t="n">
        <v>20</v>
      </c>
      <c r="J31" s="10" t="inlineStr">
        <is>
          <t>D1-03</t>
        </is>
      </c>
      <c r="K31" s="24">
        <f>G31*E31</f>
        <v/>
      </c>
      <c r="L31" s="13">
        <f>F31-E31</f>
        <v/>
      </c>
      <c r="M31" s="25">
        <f>IF(F31&gt;0,(F31-E31)/F31,0)</f>
        <v/>
      </c>
    </row>
    <row r="32" ht="18" customHeight="1">
      <c r="A32" s="26" t="inlineStr">
        <is>
          <t>SKU-028</t>
        </is>
      </c>
      <c r="B32" s="27" t="inlineStr">
        <is>
          <t>Mouse Pad (Standard)</t>
        </is>
      </c>
      <c r="C32" s="16" t="inlineStr">
        <is>
          <t>Technology</t>
        </is>
      </c>
      <c r="D32" s="27" t="inlineStr">
        <is>
          <t>DigiTech Wholesale</t>
        </is>
      </c>
      <c r="E32" s="17" t="n">
        <v>2.5</v>
      </c>
      <c r="F32" s="17" t="n">
        <v>7.99</v>
      </c>
      <c r="G32" s="28" t="n">
        <v>45</v>
      </c>
      <c r="H32" s="28" t="n">
        <v>20</v>
      </c>
      <c r="I32" s="28" t="n">
        <v>40</v>
      </c>
      <c r="J32" s="16" t="inlineStr">
        <is>
          <t>D1-04</t>
        </is>
      </c>
      <c r="K32" s="24">
        <f>G32*E32</f>
        <v/>
      </c>
      <c r="L32" s="13">
        <f>F32-E32</f>
        <v/>
      </c>
      <c r="M32" s="25">
        <f>IF(F32&gt;0,(F32-E32)/F32,0)</f>
        <v/>
      </c>
    </row>
    <row r="33" ht="18" customHeight="1">
      <c r="A33" s="21" t="inlineStr">
        <is>
          <t>SKU-029</t>
        </is>
      </c>
      <c r="B33" s="22" t="inlineStr">
        <is>
          <t>HDMI Cable - 1.5m</t>
        </is>
      </c>
      <c r="C33" s="10" t="inlineStr">
        <is>
          <t>Technology</t>
        </is>
      </c>
      <c r="D33" s="22" t="inlineStr">
        <is>
          <t>DigiTech Wholesale</t>
        </is>
      </c>
      <c r="E33" s="11" t="n">
        <v>3.5</v>
      </c>
      <c r="F33" s="11" t="n">
        <v>9.99</v>
      </c>
      <c r="G33" s="23" t="n">
        <v>38</v>
      </c>
      <c r="H33" s="23" t="n">
        <v>15</v>
      </c>
      <c r="I33" s="23" t="n">
        <v>30</v>
      </c>
      <c r="J33" s="10" t="inlineStr">
        <is>
          <t>D1-05</t>
        </is>
      </c>
      <c r="K33" s="24">
        <f>G33*E33</f>
        <v/>
      </c>
      <c r="L33" s="13">
        <f>F33-E33</f>
        <v/>
      </c>
      <c r="M33" s="25">
        <f>IF(F33&gt;0,(F33-E33)/F33,0)</f>
        <v/>
      </c>
    </row>
    <row r="34" ht="18" customHeight="1">
      <c r="A34" s="26" t="inlineStr">
        <is>
          <t>SKU-030</t>
        </is>
      </c>
      <c r="B34" s="27" t="inlineStr">
        <is>
          <t>HDMI Cable - 3m</t>
        </is>
      </c>
      <c r="C34" s="16" t="inlineStr">
        <is>
          <t>Technology</t>
        </is>
      </c>
      <c r="D34" s="27" t="inlineStr">
        <is>
          <t>DigiTech Wholesale</t>
        </is>
      </c>
      <c r="E34" s="17" t="n">
        <v>5</v>
      </c>
      <c r="F34" s="17" t="n">
        <v>13.99</v>
      </c>
      <c r="G34" s="28" t="n">
        <v>25</v>
      </c>
      <c r="H34" s="28" t="n">
        <v>10</v>
      </c>
      <c r="I34" s="28" t="n">
        <v>20</v>
      </c>
      <c r="J34" s="16" t="inlineStr">
        <is>
          <t>D1-06</t>
        </is>
      </c>
      <c r="K34" s="24">
        <f>G34*E34</f>
        <v/>
      </c>
      <c r="L34" s="13">
        <f>F34-E34</f>
        <v/>
      </c>
      <c r="M34" s="25">
        <f>IF(F34&gt;0,(F34-E34)/F34,0)</f>
        <v/>
      </c>
    </row>
    <row r="35" ht="18" customHeight="1">
      <c r="A35" s="21" t="inlineStr">
        <is>
          <t>SKU-031</t>
        </is>
      </c>
      <c r="B35" s="22" t="inlineStr">
        <is>
          <t>Extension Cord - 3-Socket</t>
        </is>
      </c>
      <c r="C35" s="10" t="inlineStr">
        <is>
          <t>Technology</t>
        </is>
      </c>
      <c r="D35" s="22" t="inlineStr">
        <is>
          <t>DigiTech Wholesale</t>
        </is>
      </c>
      <c r="E35" s="11" t="n">
        <v>6</v>
      </c>
      <c r="F35" s="11" t="n">
        <v>15.99</v>
      </c>
      <c r="G35" s="23" t="n">
        <v>30</v>
      </c>
      <c r="H35" s="23" t="n">
        <v>12</v>
      </c>
      <c r="I35" s="23" t="n">
        <v>25</v>
      </c>
      <c r="J35" s="10" t="inlineStr">
        <is>
          <t>D2-01</t>
        </is>
      </c>
      <c r="K35" s="24">
        <f>G35*E35</f>
        <v/>
      </c>
      <c r="L35" s="13">
        <f>F35-E35</f>
        <v/>
      </c>
      <c r="M35" s="25">
        <f>IF(F35&gt;0,(F35-E35)/F35,0)</f>
        <v/>
      </c>
    </row>
    <row r="36" ht="18" customHeight="1">
      <c r="A36" s="26" t="inlineStr">
        <is>
          <t>SKU-032</t>
        </is>
      </c>
      <c r="B36" s="27" t="inlineStr">
        <is>
          <t>Extension Cord - 5-Socket</t>
        </is>
      </c>
      <c r="C36" s="16" t="inlineStr">
        <is>
          <t>Technology</t>
        </is>
      </c>
      <c r="D36" s="27" t="inlineStr">
        <is>
          <t>DigiTech Wholesale</t>
        </is>
      </c>
      <c r="E36" s="17" t="n">
        <v>9</v>
      </c>
      <c r="F36" s="17" t="n">
        <v>22.99</v>
      </c>
      <c r="G36" s="28" t="n">
        <v>18</v>
      </c>
      <c r="H36" s="28" t="n">
        <v>8</v>
      </c>
      <c r="I36" s="28" t="n">
        <v>15</v>
      </c>
      <c r="J36" s="16" t="inlineStr">
        <is>
          <t>D2-02</t>
        </is>
      </c>
      <c r="K36" s="24">
        <f>G36*E36</f>
        <v/>
      </c>
      <c r="L36" s="13">
        <f>F36-E36</f>
        <v/>
      </c>
      <c r="M36" s="25">
        <f>IF(F36&gt;0,(F36-E36)/F36,0)</f>
        <v/>
      </c>
    </row>
    <row r="37" ht="18" customHeight="1">
      <c r="A37" s="21" t="inlineStr">
        <is>
          <t>SKU-033</t>
        </is>
      </c>
      <c r="B37" s="22" t="inlineStr">
        <is>
          <t>Whiteboard Marker - Black</t>
        </is>
      </c>
      <c r="C37" s="10" t="inlineStr">
        <is>
          <t>Stationery</t>
        </is>
      </c>
      <c r="D37" s="22" t="inlineStr">
        <is>
          <t>ColorBrite Inc.</t>
        </is>
      </c>
      <c r="E37" s="11" t="n">
        <v>0.9</v>
      </c>
      <c r="F37" s="11" t="n">
        <v>2.99</v>
      </c>
      <c r="G37" s="23" t="n">
        <v>85</v>
      </c>
      <c r="H37" s="23" t="n">
        <v>35</v>
      </c>
      <c r="I37" s="23" t="n">
        <v>70</v>
      </c>
      <c r="J37" s="10" t="inlineStr">
        <is>
          <t>A3-01</t>
        </is>
      </c>
      <c r="K37" s="24">
        <f>G37*E37</f>
        <v/>
      </c>
      <c r="L37" s="13">
        <f>F37-E37</f>
        <v/>
      </c>
      <c r="M37" s="25">
        <f>IF(F37&gt;0,(F37-E37)/F37,0)</f>
        <v/>
      </c>
    </row>
    <row r="38" ht="18" customHeight="1">
      <c r="A38" s="26" t="inlineStr">
        <is>
          <t>SKU-034</t>
        </is>
      </c>
      <c r="B38" s="27" t="inlineStr">
        <is>
          <t>Whiteboard Marker Set - 4 Colors</t>
        </is>
      </c>
      <c r="C38" s="16" t="inlineStr">
        <is>
          <t>Stationery</t>
        </is>
      </c>
      <c r="D38" s="27" t="inlineStr">
        <is>
          <t>ColorBrite Inc.</t>
        </is>
      </c>
      <c r="E38" s="17" t="n">
        <v>3.2</v>
      </c>
      <c r="F38" s="17" t="n">
        <v>8.99</v>
      </c>
      <c r="G38" s="28" t="n">
        <v>50</v>
      </c>
      <c r="H38" s="28" t="n">
        <v>20</v>
      </c>
      <c r="I38" s="28" t="n">
        <v>40</v>
      </c>
      <c r="J38" s="16" t="inlineStr">
        <is>
          <t>A3-02</t>
        </is>
      </c>
      <c r="K38" s="24">
        <f>G38*E38</f>
        <v/>
      </c>
      <c r="L38" s="13">
        <f>F38-E38</f>
        <v/>
      </c>
      <c r="M38" s="25">
        <f>IF(F38&gt;0,(F38-E38)/F38,0)</f>
        <v/>
      </c>
    </row>
    <row r="39" ht="18" customHeight="1">
      <c r="A39" s="21" t="inlineStr">
        <is>
          <t>SKU-035</t>
        </is>
      </c>
      <c r="B39" s="22" t="inlineStr">
        <is>
          <t>Whiteboard Eraser</t>
        </is>
      </c>
      <c r="C39" s="10" t="inlineStr">
        <is>
          <t>Stationery</t>
        </is>
      </c>
      <c r="D39" s="22" t="inlineStr">
        <is>
          <t>ColorBrite Inc.</t>
        </is>
      </c>
      <c r="E39" s="11" t="n">
        <v>1.5</v>
      </c>
      <c r="F39" s="11" t="n">
        <v>4.5</v>
      </c>
      <c r="G39" s="23" t="n">
        <v>30</v>
      </c>
      <c r="H39" s="23" t="n">
        <v>12</v>
      </c>
      <c r="I39" s="23" t="n">
        <v>25</v>
      </c>
      <c r="J39" s="10" t="inlineStr">
        <is>
          <t>A3-03</t>
        </is>
      </c>
      <c r="K39" s="24">
        <f>G39*E39</f>
        <v/>
      </c>
      <c r="L39" s="13">
        <f>F39-E39</f>
        <v/>
      </c>
      <c r="M39" s="25">
        <f>IF(F39&gt;0,(F39-E39)/F39,0)</f>
        <v/>
      </c>
    </row>
    <row r="40" ht="18" customHeight="1">
      <c r="A40" s="26" t="inlineStr">
        <is>
          <t>SKU-036</t>
        </is>
      </c>
      <c r="B40" s="27" t="inlineStr">
        <is>
          <t>A3 Printer Paper - 250 Sheets</t>
        </is>
      </c>
      <c r="C40" s="16" t="inlineStr">
        <is>
          <t>Stationery</t>
        </is>
      </c>
      <c r="D40" s="27" t="inlineStr">
        <is>
          <t>PaperWorld Ltd</t>
        </is>
      </c>
      <c r="E40" s="17" t="n">
        <v>6</v>
      </c>
      <c r="F40" s="17" t="n">
        <v>14.99</v>
      </c>
      <c r="G40" s="28" t="n">
        <v>28</v>
      </c>
      <c r="H40" s="28" t="n">
        <v>12</v>
      </c>
      <c r="I40" s="28" t="n">
        <v>30</v>
      </c>
      <c r="J40" s="16" t="inlineStr">
        <is>
          <t>A2-04</t>
        </is>
      </c>
      <c r="K40" s="24">
        <f>G40*E40</f>
        <v/>
      </c>
      <c r="L40" s="13">
        <f>F40-E40</f>
        <v/>
      </c>
      <c r="M40" s="25">
        <f>IF(F40&gt;0,(F40-E40)/F40,0)</f>
        <v/>
      </c>
    </row>
    <row r="41" ht="18" customHeight="1">
      <c r="A41" s="21" t="inlineStr">
        <is>
          <t>SKU-037</t>
        </is>
      </c>
      <c r="B41" s="22" t="inlineStr">
        <is>
          <t>Envelope - A4 Size Pack of 25</t>
        </is>
      </c>
      <c r="C41" s="10" t="inlineStr">
        <is>
          <t>Stationery</t>
        </is>
      </c>
      <c r="D41" s="22" t="inlineStr">
        <is>
          <t>PaperWorld Ltd</t>
        </is>
      </c>
      <c r="E41" s="11" t="n">
        <v>2.8</v>
      </c>
      <c r="F41" s="11" t="n">
        <v>6.99</v>
      </c>
      <c r="G41" s="23" t="n">
        <v>45</v>
      </c>
      <c r="H41" s="23" t="n">
        <v>20</v>
      </c>
      <c r="I41" s="23" t="n">
        <v>50</v>
      </c>
      <c r="J41" s="10" t="inlineStr">
        <is>
          <t>A2-05</t>
        </is>
      </c>
      <c r="K41" s="24">
        <f>G41*E41</f>
        <v/>
      </c>
      <c r="L41" s="13">
        <f>F41-E41</f>
        <v/>
      </c>
      <c r="M41" s="25">
        <f>IF(F41&gt;0,(F41-E41)/F41,0)</f>
        <v/>
      </c>
    </row>
    <row r="42" ht="18" customHeight="1">
      <c r="A42" s="26" t="inlineStr">
        <is>
          <t>SKU-038</t>
        </is>
      </c>
      <c r="B42" s="27" t="inlineStr">
        <is>
          <t>Envelope - C5 Pack of 25</t>
        </is>
      </c>
      <c r="C42" s="16" t="inlineStr">
        <is>
          <t>Stationery</t>
        </is>
      </c>
      <c r="D42" s="27" t="inlineStr">
        <is>
          <t>PaperWorld Ltd</t>
        </is>
      </c>
      <c r="E42" s="17" t="n">
        <v>1.8</v>
      </c>
      <c r="F42" s="17" t="n">
        <v>4.99</v>
      </c>
      <c r="G42" s="28" t="n">
        <v>60</v>
      </c>
      <c r="H42" s="28" t="n">
        <v>25</v>
      </c>
      <c r="I42" s="28" t="n">
        <v>50</v>
      </c>
      <c r="J42" s="16" t="inlineStr">
        <is>
          <t>A2-06</t>
        </is>
      </c>
      <c r="K42" s="24">
        <f>G42*E42</f>
        <v/>
      </c>
      <c r="L42" s="13">
        <f>F42-E42</f>
        <v/>
      </c>
      <c r="M42" s="25">
        <f>IF(F42&gt;0,(F42-E42)/F42,0)</f>
        <v/>
      </c>
    </row>
    <row r="43" ht="18" customHeight="1">
      <c r="A43" s="21" t="inlineStr">
        <is>
          <t>SKU-039</t>
        </is>
      </c>
      <c r="B43" s="22" t="inlineStr">
        <is>
          <t>Rubber Band Set - Mixed</t>
        </is>
      </c>
      <c r="C43" s="10" t="inlineStr">
        <is>
          <t>Stationery</t>
        </is>
      </c>
      <c r="D43" s="22" t="inlineStr">
        <is>
          <t>Office Plus Supply Co.</t>
        </is>
      </c>
      <c r="E43" s="11" t="n">
        <v>1.2</v>
      </c>
      <c r="F43" s="11" t="n">
        <v>3.5</v>
      </c>
      <c r="G43" s="23" t="n">
        <v>70</v>
      </c>
      <c r="H43" s="23" t="n">
        <v>30</v>
      </c>
      <c r="I43" s="23" t="n">
        <v>60</v>
      </c>
      <c r="J43" s="10" t="inlineStr">
        <is>
          <t>A1-09</t>
        </is>
      </c>
      <c r="K43" s="24">
        <f>G43*E43</f>
        <v/>
      </c>
      <c r="L43" s="13">
        <f>F43-E43</f>
        <v/>
      </c>
      <c r="M43" s="25">
        <f>IF(F43&gt;0,(F43-E43)/F43,0)</f>
        <v/>
      </c>
    </row>
    <row r="44" ht="18" customHeight="1">
      <c r="A44" s="26" t="inlineStr">
        <is>
          <t>SKU-040</t>
        </is>
      </c>
      <c r="B44" s="27" t="inlineStr">
        <is>
          <t>Paper Clip Box - 100 pcs</t>
        </is>
      </c>
      <c r="C44" s="16" t="inlineStr">
        <is>
          <t>Stationery</t>
        </is>
      </c>
      <c r="D44" s="27" t="inlineStr">
        <is>
          <t>Office Plus Supply Co.</t>
        </is>
      </c>
      <c r="E44" s="17" t="n">
        <v>0.6</v>
      </c>
      <c r="F44" s="17" t="n">
        <v>1.99</v>
      </c>
      <c r="G44" s="28" t="n">
        <v>100</v>
      </c>
      <c r="H44" s="28" t="n">
        <v>50</v>
      </c>
      <c r="I44" s="28" t="n">
        <v>100</v>
      </c>
      <c r="J44" s="16" t="inlineStr">
        <is>
          <t>A1-10</t>
        </is>
      </c>
      <c r="K44" s="24">
        <f>G44*E44</f>
        <v/>
      </c>
      <c r="L44" s="13">
        <f>F44-E44</f>
        <v/>
      </c>
      <c r="M44" s="25">
        <f>IF(F44&gt;0,(F44-E44)/F44,0)</f>
        <v/>
      </c>
    </row>
    <row r="45" ht="18" customHeight="1">
      <c r="A45" s="21" t="inlineStr">
        <is>
          <t>SKU-041</t>
        </is>
      </c>
      <c r="B45" s="22" t="inlineStr">
        <is>
          <t>Binder Clip - Small Pack of 12</t>
        </is>
      </c>
      <c r="C45" s="10" t="inlineStr">
        <is>
          <t>Stationery</t>
        </is>
      </c>
      <c r="D45" s="22" t="inlineStr">
        <is>
          <t>Office Plus Supply Co.</t>
        </is>
      </c>
      <c r="E45" s="11" t="n">
        <v>0.8</v>
      </c>
      <c r="F45" s="11" t="n">
        <v>2.49</v>
      </c>
      <c r="G45" s="23" t="n">
        <v>75</v>
      </c>
      <c r="H45" s="23" t="n">
        <v>30</v>
      </c>
      <c r="I45" s="23" t="n">
        <v>60</v>
      </c>
      <c r="J45" s="10" t="inlineStr">
        <is>
          <t>A1-11</t>
        </is>
      </c>
      <c r="K45" s="24">
        <f>G45*E45</f>
        <v/>
      </c>
      <c r="L45" s="13">
        <f>F45-E45</f>
        <v/>
      </c>
      <c r="M45" s="25">
        <f>IF(F45&gt;0,(F45-E45)/F45,0)</f>
        <v/>
      </c>
    </row>
    <row r="46" ht="18" customHeight="1">
      <c r="A46" s="26" t="inlineStr">
        <is>
          <t>SKU-042</t>
        </is>
      </c>
      <c r="B46" s="27" t="inlineStr">
        <is>
          <t>Binder Clip - Large Pack of 12</t>
        </is>
      </c>
      <c r="C46" s="16" t="inlineStr">
        <is>
          <t>Stationery</t>
        </is>
      </c>
      <c r="D46" s="27" t="inlineStr">
        <is>
          <t>Office Plus Supply Co.</t>
        </is>
      </c>
      <c r="E46" s="17" t="n">
        <v>1.1</v>
      </c>
      <c r="F46" s="17" t="n">
        <v>3.49</v>
      </c>
      <c r="G46" s="28" t="n">
        <v>50</v>
      </c>
      <c r="H46" s="28" t="n">
        <v>20</v>
      </c>
      <c r="I46" s="28" t="n">
        <v>40</v>
      </c>
      <c r="J46" s="16" t="inlineStr">
        <is>
          <t>A1-12</t>
        </is>
      </c>
      <c r="K46" s="24">
        <f>G46*E46</f>
        <v/>
      </c>
      <c r="L46" s="13">
        <f>F46-E46</f>
        <v/>
      </c>
      <c r="M46" s="25">
        <f>IF(F46&gt;0,(F46-E46)/F46,0)</f>
        <v/>
      </c>
    </row>
    <row r="47" ht="18" customHeight="1">
      <c r="A47" s="21" t="inlineStr">
        <is>
          <t>SKU-043</t>
        </is>
      </c>
      <c r="B47" s="22" t="inlineStr">
        <is>
          <t>Correction Fluid (White-Out)</t>
        </is>
      </c>
      <c r="C47" s="10" t="inlineStr">
        <is>
          <t>Stationery</t>
        </is>
      </c>
      <c r="D47" s="22" t="inlineStr">
        <is>
          <t>ColorBrite Inc.</t>
        </is>
      </c>
      <c r="E47" s="11" t="n">
        <v>1</v>
      </c>
      <c r="F47" s="11" t="n">
        <v>3.25</v>
      </c>
      <c r="G47" s="23" t="n">
        <v>40</v>
      </c>
      <c r="H47" s="23" t="n">
        <v>15</v>
      </c>
      <c r="I47" s="23" t="n">
        <v>30</v>
      </c>
      <c r="J47" s="10" t="inlineStr">
        <is>
          <t>A1-13</t>
        </is>
      </c>
      <c r="K47" s="24">
        <f>G47*E47</f>
        <v/>
      </c>
      <c r="L47" s="13">
        <f>F47-E47</f>
        <v/>
      </c>
      <c r="M47" s="25">
        <f>IF(F47&gt;0,(F47-E47)/F47,0)</f>
        <v/>
      </c>
    </row>
    <row r="48" ht="18" customHeight="1">
      <c r="A48" s="26" t="inlineStr">
        <is>
          <t>SKU-044</t>
        </is>
      </c>
      <c r="B48" s="27" t="inlineStr">
        <is>
          <t>Correction Tape Roller</t>
        </is>
      </c>
      <c r="C48" s="16" t="inlineStr">
        <is>
          <t>Stationery</t>
        </is>
      </c>
      <c r="D48" s="27" t="inlineStr">
        <is>
          <t>ColorBrite Inc.</t>
        </is>
      </c>
      <c r="E48" s="17" t="n">
        <v>1.8</v>
      </c>
      <c r="F48" s="17" t="n">
        <v>4.99</v>
      </c>
      <c r="G48" s="28" t="n">
        <v>55</v>
      </c>
      <c r="H48" s="28" t="n">
        <v>20</v>
      </c>
      <c r="I48" s="28" t="n">
        <v>40</v>
      </c>
      <c r="J48" s="16" t="inlineStr">
        <is>
          <t>A1-14</t>
        </is>
      </c>
      <c r="K48" s="24">
        <f>G48*E48</f>
        <v/>
      </c>
      <c r="L48" s="13">
        <f>F48-E48</f>
        <v/>
      </c>
      <c r="M48" s="25">
        <f>IF(F48&gt;0,(F48-E48)/F48,0)</f>
        <v/>
      </c>
    </row>
    <row r="49" ht="18" customHeight="1">
      <c r="A49" s="21" t="inlineStr">
        <is>
          <t>SKU-045</t>
        </is>
      </c>
      <c r="B49" s="22" t="inlineStr">
        <is>
          <t>Drawing Pin Set - 100 pcs</t>
        </is>
      </c>
      <c r="C49" s="10" t="inlineStr">
        <is>
          <t>Stationery</t>
        </is>
      </c>
      <c r="D49" s="22" t="inlineStr">
        <is>
          <t>Office Plus Supply Co.</t>
        </is>
      </c>
      <c r="E49" s="11" t="n">
        <v>0.7</v>
      </c>
      <c r="F49" s="11" t="n">
        <v>2.25</v>
      </c>
      <c r="G49" s="23" t="n">
        <v>60</v>
      </c>
      <c r="H49" s="23" t="n">
        <v>25</v>
      </c>
      <c r="I49" s="23" t="n">
        <v>50</v>
      </c>
      <c r="J49" s="10" t="inlineStr">
        <is>
          <t>A1-15</t>
        </is>
      </c>
      <c r="K49" s="24">
        <f>G49*E49</f>
        <v/>
      </c>
      <c r="L49" s="13">
        <f>F49-E49</f>
        <v/>
      </c>
      <c r="M49" s="25">
        <f>IF(F49&gt;0,(F49-E49)/F49,0)</f>
        <v/>
      </c>
    </row>
    <row r="50" ht="18" customHeight="1">
      <c r="A50" s="26" t="inlineStr">
        <is>
          <t>SKU-046</t>
        </is>
      </c>
      <c r="B50" s="27" t="inlineStr">
        <is>
          <t>Hanging File Folder - Pack of 25</t>
        </is>
      </c>
      <c r="C50" s="16" t="inlineStr">
        <is>
          <t>Office Equipment</t>
        </is>
      </c>
      <c r="D50" s="27" t="inlineStr">
        <is>
          <t>PaperWorld Ltd</t>
        </is>
      </c>
      <c r="E50" s="17" t="n">
        <v>4.5</v>
      </c>
      <c r="F50" s="17" t="n">
        <v>10.99</v>
      </c>
      <c r="G50" s="28" t="n">
        <v>35</v>
      </c>
      <c r="H50" s="28" t="n">
        <v>15</v>
      </c>
      <c r="I50" s="28" t="n">
        <v>30</v>
      </c>
      <c r="J50" s="16" t="inlineStr">
        <is>
          <t>B2-03</t>
        </is>
      </c>
      <c r="K50" s="24">
        <f>G50*E50</f>
        <v/>
      </c>
      <c r="L50" s="13">
        <f>F50-E50</f>
        <v/>
      </c>
      <c r="M50" s="25">
        <f>IF(F50&gt;0,(F50-E50)/F50,0)</f>
        <v/>
      </c>
    </row>
    <row r="51" ht="18" customHeight="1">
      <c r="A51" s="21" t="inlineStr">
        <is>
          <t>SKU-047</t>
        </is>
      </c>
      <c r="B51" s="22" t="inlineStr">
        <is>
          <t>File Box (Cardboard)</t>
        </is>
      </c>
      <c r="C51" s="10" t="inlineStr">
        <is>
          <t>Office Equipment</t>
        </is>
      </c>
      <c r="D51" s="22" t="inlineStr">
        <is>
          <t>PaperWorld Ltd</t>
        </is>
      </c>
      <c r="E51" s="11" t="n">
        <v>2</v>
      </c>
      <c r="F51" s="11" t="n">
        <v>5.99</v>
      </c>
      <c r="G51" s="23" t="n">
        <v>40</v>
      </c>
      <c r="H51" s="23" t="n">
        <v>15</v>
      </c>
      <c r="I51" s="23" t="n">
        <v>30</v>
      </c>
      <c r="J51" s="10" t="inlineStr">
        <is>
          <t>B2-04</t>
        </is>
      </c>
      <c r="K51" s="24">
        <f>G51*E51</f>
        <v/>
      </c>
      <c r="L51" s="13">
        <f>F51-E51</f>
        <v/>
      </c>
      <c r="M51" s="25">
        <f>IF(F51&gt;0,(F51-E51)/F51,0)</f>
        <v/>
      </c>
    </row>
    <row r="52" ht="18" customHeight="1">
      <c r="A52" s="26" t="inlineStr">
        <is>
          <t>SKU-048</t>
        </is>
      </c>
      <c r="B52" s="27" t="inlineStr">
        <is>
          <t>Lever Arch Binder - A4</t>
        </is>
      </c>
      <c r="C52" s="16" t="inlineStr">
        <is>
          <t>Office Equipment</t>
        </is>
      </c>
      <c r="D52" s="27" t="inlineStr">
        <is>
          <t>Office Plus Supply Co.</t>
        </is>
      </c>
      <c r="E52" s="17" t="n">
        <v>3</v>
      </c>
      <c r="F52" s="17" t="n">
        <v>7.99</v>
      </c>
      <c r="G52" s="28" t="n">
        <v>48</v>
      </c>
      <c r="H52" s="28" t="n">
        <v>20</v>
      </c>
      <c r="I52" s="28" t="n">
        <v>40</v>
      </c>
      <c r="J52" s="16" t="inlineStr">
        <is>
          <t>B2-05</t>
        </is>
      </c>
      <c r="K52" s="24">
        <f>G52*E52</f>
        <v/>
      </c>
      <c r="L52" s="13">
        <f>F52-E52</f>
        <v/>
      </c>
      <c r="M52" s="25">
        <f>IF(F52&gt;0,(F52-E52)/F52,0)</f>
        <v/>
      </c>
    </row>
    <row r="53" ht="18" customHeight="1">
      <c r="A53" s="21" t="inlineStr">
        <is>
          <t>SKU-049</t>
        </is>
      </c>
      <c r="B53" s="22" t="inlineStr">
        <is>
          <t>Ring Binder - 2-Ring A4</t>
        </is>
      </c>
      <c r="C53" s="10" t="inlineStr">
        <is>
          <t>Office Equipment</t>
        </is>
      </c>
      <c r="D53" s="22" t="inlineStr">
        <is>
          <t>Office Plus Supply Co.</t>
        </is>
      </c>
      <c r="E53" s="11" t="n">
        <v>2.5</v>
      </c>
      <c r="F53" s="11" t="n">
        <v>6.99</v>
      </c>
      <c r="G53" s="23" t="n">
        <v>35</v>
      </c>
      <c r="H53" s="23" t="n">
        <v>15</v>
      </c>
      <c r="I53" s="23" t="n">
        <v>30</v>
      </c>
      <c r="J53" s="10" t="inlineStr">
        <is>
          <t>B2-06</t>
        </is>
      </c>
      <c r="K53" s="24">
        <f>G53*E53</f>
        <v/>
      </c>
      <c r="L53" s="13">
        <f>F53-E53</f>
        <v/>
      </c>
      <c r="M53" s="25">
        <f>IF(F53&gt;0,(F53-E53)/F53,0)</f>
        <v/>
      </c>
    </row>
    <row r="54" ht="18" customHeight="1">
      <c r="A54" s="26" t="inlineStr">
        <is>
          <t>SKU-050</t>
        </is>
      </c>
      <c r="B54" s="27" t="inlineStr">
        <is>
          <t>Plastic Sleeve - A4 Pack of 100</t>
        </is>
      </c>
      <c r="C54" s="16" t="inlineStr">
        <is>
          <t>Office Equipment</t>
        </is>
      </c>
      <c r="D54" s="27" t="inlineStr">
        <is>
          <t>PaperWorld Ltd</t>
        </is>
      </c>
      <c r="E54" s="17" t="n">
        <v>3.5</v>
      </c>
      <c r="F54" s="17" t="n">
        <v>8.99</v>
      </c>
      <c r="G54" s="28" t="n">
        <v>40</v>
      </c>
      <c r="H54" s="28" t="n">
        <v>15</v>
      </c>
      <c r="I54" s="28" t="n">
        <v>30</v>
      </c>
      <c r="J54" s="16" t="inlineStr">
        <is>
          <t>B2-07</t>
        </is>
      </c>
      <c r="K54" s="24">
        <f>G54*E54</f>
        <v/>
      </c>
      <c r="L54" s="13">
        <f>F54-E54</f>
        <v/>
      </c>
      <c r="M54" s="25">
        <f>IF(F54&gt;0,(F54-E54)/F54,0)</f>
        <v/>
      </c>
    </row>
    <row r="55" ht="18" customHeight="1">
      <c r="A55" s="21" t="inlineStr">
        <is>
          <t>SKU-051</t>
        </is>
      </c>
      <c r="B55" s="22" t="inlineStr">
        <is>
          <t>Label Stickers - A4 Sheet 16/Sheet</t>
        </is>
      </c>
      <c r="C55" s="10" t="inlineStr">
        <is>
          <t>Stationery</t>
        </is>
      </c>
      <c r="D55" s="22" t="inlineStr">
        <is>
          <t>PrintMax Corp</t>
        </is>
      </c>
      <c r="E55" s="11" t="n">
        <v>2.2</v>
      </c>
      <c r="F55" s="11" t="n">
        <v>5.99</v>
      </c>
      <c r="G55" s="23" t="n">
        <v>55</v>
      </c>
      <c r="H55" s="23" t="n">
        <v>25</v>
      </c>
      <c r="I55" s="23" t="n">
        <v>50</v>
      </c>
      <c r="J55" s="10" t="inlineStr">
        <is>
          <t>A3-04</t>
        </is>
      </c>
      <c r="K55" s="24">
        <f>G55*E55</f>
        <v/>
      </c>
      <c r="L55" s="13">
        <f>F55-E55</f>
        <v/>
      </c>
      <c r="M55" s="25">
        <f>IF(F55&gt;0,(F55-E55)/F55,0)</f>
        <v/>
      </c>
    </row>
    <row r="56" ht="18" customHeight="1">
      <c r="A56" s="26" t="inlineStr">
        <is>
          <t>SKU-052</t>
        </is>
      </c>
      <c r="B56" s="27" t="inlineStr">
        <is>
          <t>Label Stickers - Small Round</t>
        </is>
      </c>
      <c r="C56" s="16" t="inlineStr">
        <is>
          <t>Stationery</t>
        </is>
      </c>
      <c r="D56" s="27" t="inlineStr">
        <is>
          <t>PrintMax Corp</t>
        </is>
      </c>
      <c r="E56" s="17" t="n">
        <v>1.5</v>
      </c>
      <c r="F56" s="17" t="n">
        <v>4.25</v>
      </c>
      <c r="G56" s="28" t="n">
        <v>48</v>
      </c>
      <c r="H56" s="28" t="n">
        <v>20</v>
      </c>
      <c r="I56" s="28" t="n">
        <v>40</v>
      </c>
      <c r="J56" s="16" t="inlineStr">
        <is>
          <t>A3-05</t>
        </is>
      </c>
      <c r="K56" s="24">
        <f>G56*E56</f>
        <v/>
      </c>
      <c r="L56" s="13">
        <f>F56-E56</f>
        <v/>
      </c>
      <c r="M56" s="25">
        <f>IF(F56&gt;0,(F56-E56)/F56,0)</f>
        <v/>
      </c>
    </row>
    <row r="57" ht="18" customHeight="1">
      <c r="A57" s="21" t="inlineStr">
        <is>
          <t>SKU-053</t>
        </is>
      </c>
      <c r="B57" s="22" t="inlineStr">
        <is>
          <t>Bubble Wrap Roll - 50cm x 10m</t>
        </is>
      </c>
      <c r="C57" s="10" t="inlineStr">
        <is>
          <t>Packaging</t>
        </is>
      </c>
      <c r="D57" s="22" t="inlineStr">
        <is>
          <t>PackRight Solutions</t>
        </is>
      </c>
      <c r="E57" s="11" t="n">
        <v>5.5</v>
      </c>
      <c r="F57" s="11" t="n">
        <v>13.99</v>
      </c>
      <c r="G57" s="23" t="n">
        <v>20</v>
      </c>
      <c r="H57" s="23" t="n">
        <v>8</v>
      </c>
      <c r="I57" s="23" t="n">
        <v>20</v>
      </c>
      <c r="J57" s="10" t="inlineStr">
        <is>
          <t>E1-01</t>
        </is>
      </c>
      <c r="K57" s="24">
        <f>G57*E57</f>
        <v/>
      </c>
      <c r="L57" s="13">
        <f>F57-E57</f>
        <v/>
      </c>
      <c r="M57" s="25">
        <f>IF(F57&gt;0,(F57-E57)/F57,0)</f>
        <v/>
      </c>
    </row>
    <row r="58" ht="18" customHeight="1">
      <c r="A58" s="26" t="inlineStr">
        <is>
          <t>SKU-054</t>
        </is>
      </c>
      <c r="B58" s="27" t="inlineStr">
        <is>
          <t>Packing Tape - 48mm x 66m</t>
        </is>
      </c>
      <c r="C58" s="16" t="inlineStr">
        <is>
          <t>Packaging</t>
        </is>
      </c>
      <c r="D58" s="27" t="inlineStr">
        <is>
          <t>PackRight Solutions</t>
        </is>
      </c>
      <c r="E58" s="17" t="n">
        <v>1.8</v>
      </c>
      <c r="F58" s="17" t="n">
        <v>4.99</v>
      </c>
      <c r="G58" s="28" t="n">
        <v>60</v>
      </c>
      <c r="H58" s="28" t="n">
        <v>25</v>
      </c>
      <c r="I58" s="28" t="n">
        <v>50</v>
      </c>
      <c r="J58" s="16" t="inlineStr">
        <is>
          <t>E1-02</t>
        </is>
      </c>
      <c r="K58" s="24">
        <f>G58*E58</f>
        <v/>
      </c>
      <c r="L58" s="13">
        <f>F58-E58</f>
        <v/>
      </c>
      <c r="M58" s="25">
        <f>IF(F58&gt;0,(F58-E58)/F58,0)</f>
        <v/>
      </c>
    </row>
    <row r="59" ht="18" customHeight="1">
      <c r="A59" s="21" t="inlineStr">
        <is>
          <t>SKU-055</t>
        </is>
      </c>
      <c r="B59" s="22" t="inlineStr">
        <is>
          <t>Box - Small 20x15x10cm</t>
        </is>
      </c>
      <c r="C59" s="10" t="inlineStr">
        <is>
          <t>Packaging</t>
        </is>
      </c>
      <c r="D59" s="22" t="inlineStr">
        <is>
          <t>PackRight Solutions</t>
        </is>
      </c>
      <c r="E59" s="11" t="n">
        <v>0.8</v>
      </c>
      <c r="F59" s="11" t="n">
        <v>2.25</v>
      </c>
      <c r="G59" s="23" t="n">
        <v>150</v>
      </c>
      <c r="H59" s="23" t="n">
        <v>60</v>
      </c>
      <c r="I59" s="23" t="n">
        <v>120</v>
      </c>
      <c r="J59" s="10" t="inlineStr">
        <is>
          <t>E1-03</t>
        </is>
      </c>
      <c r="K59" s="24">
        <f>G59*E59</f>
        <v/>
      </c>
      <c r="L59" s="13">
        <f>F59-E59</f>
        <v/>
      </c>
      <c r="M59" s="25">
        <f>IF(F59&gt;0,(F59-E59)/F59,0)</f>
        <v/>
      </c>
    </row>
    <row r="60" ht="18" customHeight="1">
      <c r="A60" s="26" t="inlineStr">
        <is>
          <t>SKU-056</t>
        </is>
      </c>
      <c r="B60" s="27" t="inlineStr">
        <is>
          <t>Box - Medium 30x25x20cm</t>
        </is>
      </c>
      <c r="C60" s="16" t="inlineStr">
        <is>
          <t>Packaging</t>
        </is>
      </c>
      <c r="D60" s="27" t="inlineStr">
        <is>
          <t>PackRight Solutions</t>
        </is>
      </c>
      <c r="E60" s="17" t="n">
        <v>1.2</v>
      </c>
      <c r="F60" s="17" t="n">
        <v>3.25</v>
      </c>
      <c r="G60" s="28" t="n">
        <v>100</v>
      </c>
      <c r="H60" s="28" t="n">
        <v>40</v>
      </c>
      <c r="I60" s="28" t="n">
        <v>80</v>
      </c>
      <c r="J60" s="16" t="inlineStr">
        <is>
          <t>E1-04</t>
        </is>
      </c>
      <c r="K60" s="24">
        <f>G60*E60</f>
        <v/>
      </c>
      <c r="L60" s="13">
        <f>F60-E60</f>
        <v/>
      </c>
      <c r="M60" s="25">
        <f>IF(F60&gt;0,(F60-E60)/F60,0)</f>
        <v/>
      </c>
    </row>
    <row r="61" ht="18" customHeight="1">
      <c r="A61" s="21" t="inlineStr">
        <is>
          <t>SKU-057</t>
        </is>
      </c>
      <c r="B61" s="22" t="inlineStr">
        <is>
          <t>Box - Large 40x35x30cm</t>
        </is>
      </c>
      <c r="C61" s="10" t="inlineStr">
        <is>
          <t>Packaging</t>
        </is>
      </c>
      <c r="D61" s="22" t="inlineStr">
        <is>
          <t>PackRight Solutions</t>
        </is>
      </c>
      <c r="E61" s="11" t="n">
        <v>1.8</v>
      </c>
      <c r="F61" s="11" t="n">
        <v>4.5</v>
      </c>
      <c r="G61" s="23" t="n">
        <v>70</v>
      </c>
      <c r="H61" s="23" t="n">
        <v>30</v>
      </c>
      <c r="I61" s="23" t="n">
        <v>60</v>
      </c>
      <c r="J61" s="10" t="inlineStr">
        <is>
          <t>E1-05</t>
        </is>
      </c>
      <c r="K61" s="24">
        <f>G61*E61</f>
        <v/>
      </c>
      <c r="L61" s="13">
        <f>F61-E61</f>
        <v/>
      </c>
      <c r="M61" s="25">
        <f>IF(F61&gt;0,(F61-E61)/F61,0)</f>
        <v/>
      </c>
    </row>
    <row r="62" ht="18" customHeight="1">
      <c r="A62" s="26" t="inlineStr">
        <is>
          <t>SKU-058</t>
        </is>
      </c>
      <c r="B62" s="27" t="inlineStr">
        <is>
          <t>Tissue Paper - Pack of 50 Sheets</t>
        </is>
      </c>
      <c r="C62" s="16" t="inlineStr">
        <is>
          <t>Packaging</t>
        </is>
      </c>
      <c r="D62" s="27" t="inlineStr">
        <is>
          <t>PackRight Solutions</t>
        </is>
      </c>
      <c r="E62" s="17" t="n">
        <v>2.5</v>
      </c>
      <c r="F62" s="17" t="n">
        <v>6.99</v>
      </c>
      <c r="G62" s="28" t="n">
        <v>80</v>
      </c>
      <c r="H62" s="28" t="n">
        <v>30</v>
      </c>
      <c r="I62" s="28" t="n">
        <v>60</v>
      </c>
      <c r="J62" s="16" t="inlineStr">
        <is>
          <t>E1-06</t>
        </is>
      </c>
      <c r="K62" s="24">
        <f>G62*E62</f>
        <v/>
      </c>
      <c r="L62" s="13">
        <f>F62-E62</f>
        <v/>
      </c>
      <c r="M62" s="25">
        <f>IF(F62&gt;0,(F62-E62)/F62,0)</f>
        <v/>
      </c>
    </row>
    <row r="63" ht="18" customHeight="1">
      <c r="A63" s="21" t="inlineStr">
        <is>
          <t>SKU-059</t>
        </is>
      </c>
      <c r="B63" s="22" t="inlineStr">
        <is>
          <t>Stretch Wrap Film Roll</t>
        </is>
      </c>
      <c r="C63" s="10" t="inlineStr">
        <is>
          <t>Packaging</t>
        </is>
      </c>
      <c r="D63" s="22" t="inlineStr">
        <is>
          <t>PackRight Solutions</t>
        </is>
      </c>
      <c r="E63" s="11" t="n">
        <v>7</v>
      </c>
      <c r="F63" s="11" t="n">
        <v>17.99</v>
      </c>
      <c r="G63" s="23" t="n">
        <v>15</v>
      </c>
      <c r="H63" s="23" t="n">
        <v>6</v>
      </c>
      <c r="I63" s="23" t="n">
        <v>15</v>
      </c>
      <c r="J63" s="10" t="inlineStr">
        <is>
          <t>E1-07</t>
        </is>
      </c>
      <c r="K63" s="24">
        <f>G63*E63</f>
        <v/>
      </c>
      <c r="L63" s="13">
        <f>F63-E63</f>
        <v/>
      </c>
      <c r="M63" s="25">
        <f>IF(F63&gt;0,(F63-E63)/F63,0)</f>
        <v/>
      </c>
    </row>
    <row r="64" ht="18" customHeight="1">
      <c r="A64" s="26" t="inlineStr">
        <is>
          <t>SKU-060</t>
        </is>
      </c>
      <c r="B64" s="27" t="inlineStr">
        <is>
          <t>Mailing Bag - A5 Pack of 50</t>
        </is>
      </c>
      <c r="C64" s="16" t="inlineStr">
        <is>
          <t>Packaging</t>
        </is>
      </c>
      <c r="D64" s="27" t="inlineStr">
        <is>
          <t>PackRight Solutions</t>
        </is>
      </c>
      <c r="E64" s="17" t="n">
        <v>4</v>
      </c>
      <c r="F64" s="17" t="n">
        <v>9.99</v>
      </c>
      <c r="G64" s="28" t="n">
        <v>45</v>
      </c>
      <c r="H64" s="28" t="n">
        <v>18</v>
      </c>
      <c r="I64" s="28" t="n">
        <v>40</v>
      </c>
      <c r="J64" s="16" t="inlineStr">
        <is>
          <t>E1-08</t>
        </is>
      </c>
      <c r="K64" s="24">
        <f>G64*E64</f>
        <v/>
      </c>
      <c r="L64" s="13">
        <f>F64-E64</f>
        <v/>
      </c>
      <c r="M64" s="25">
        <f>IF(F64&gt;0,(F64-E64)/F64,0)</f>
        <v/>
      </c>
    </row>
    <row r="65" ht="18" customHeight="1">
      <c r="A65" s="21" t="inlineStr">
        <is>
          <t>SKU-061</t>
        </is>
      </c>
      <c r="B65" s="22" t="inlineStr">
        <is>
          <t>Mailing Bag - A4 Pack of 25</t>
        </is>
      </c>
      <c r="C65" s="10" t="inlineStr">
        <is>
          <t>Packaging</t>
        </is>
      </c>
      <c r="D65" s="22" t="inlineStr">
        <is>
          <t>PackRight Solutions</t>
        </is>
      </c>
      <c r="E65" s="11" t="n">
        <v>4.5</v>
      </c>
      <c r="F65" s="11" t="n">
        <v>11.99</v>
      </c>
      <c r="G65" s="23" t="n">
        <v>30</v>
      </c>
      <c r="H65" s="23" t="n">
        <v>12</v>
      </c>
      <c r="I65" s="23" t="n">
        <v>30</v>
      </c>
      <c r="J65" s="10" t="inlineStr">
        <is>
          <t>E1-09</t>
        </is>
      </c>
      <c r="K65" s="24">
        <f>G65*E65</f>
        <v/>
      </c>
      <c r="L65" s="13">
        <f>F65-E65</f>
        <v/>
      </c>
      <c r="M65" s="25">
        <f>IF(F65&gt;0,(F65-E65)/F65,0)</f>
        <v/>
      </c>
    </row>
    <row r="66" ht="18" customHeight="1">
      <c r="A66" s="26" t="inlineStr">
        <is>
          <t>SKU-062</t>
        </is>
      </c>
      <c r="B66" s="27" t="inlineStr">
        <is>
          <t>Address Label Rolls - 500 pcs</t>
        </is>
      </c>
      <c r="C66" s="16" t="inlineStr">
        <is>
          <t>Packaging</t>
        </is>
      </c>
      <c r="D66" s="27" t="inlineStr">
        <is>
          <t>PrintMax Corp</t>
        </is>
      </c>
      <c r="E66" s="17" t="n">
        <v>3.5</v>
      </c>
      <c r="F66" s="17" t="n">
        <v>8.99</v>
      </c>
      <c r="G66" s="28" t="n">
        <v>35</v>
      </c>
      <c r="H66" s="28" t="n">
        <v>15</v>
      </c>
      <c r="I66" s="28" t="n">
        <v>30</v>
      </c>
      <c r="J66" s="16" t="inlineStr">
        <is>
          <t>E2-01</t>
        </is>
      </c>
      <c r="K66" s="24">
        <f>G66*E66</f>
        <v/>
      </c>
      <c r="L66" s="13">
        <f>F66-E66</f>
        <v/>
      </c>
      <c r="M66" s="25">
        <f>IF(F66&gt;0,(F66-E66)/F66,0)</f>
        <v/>
      </c>
    </row>
    <row r="67" ht="18" customHeight="1">
      <c r="A67" s="21" t="inlineStr">
        <is>
          <t>SKU-063</t>
        </is>
      </c>
      <c r="B67" s="22" t="inlineStr">
        <is>
          <t>Cleaning Spray (Multi-Purpose)</t>
        </is>
      </c>
      <c r="C67" s="10" t="inlineStr">
        <is>
          <t>Cleaning</t>
        </is>
      </c>
      <c r="D67" s="22" t="inlineStr">
        <is>
          <t>CleanPro Dist.</t>
        </is>
      </c>
      <c r="E67" s="11" t="n">
        <v>2</v>
      </c>
      <c r="F67" s="11" t="n">
        <v>5.5</v>
      </c>
      <c r="G67" s="23" t="n">
        <v>40</v>
      </c>
      <c r="H67" s="23" t="n">
        <v>15</v>
      </c>
      <c r="I67" s="23" t="n">
        <v>30</v>
      </c>
      <c r="J67" s="10" t="inlineStr">
        <is>
          <t>F1-01</t>
        </is>
      </c>
      <c r="K67" s="24">
        <f>G67*E67</f>
        <v/>
      </c>
      <c r="L67" s="13">
        <f>F67-E67</f>
        <v/>
      </c>
      <c r="M67" s="25">
        <f>IF(F67&gt;0,(F67-E67)/F67,0)</f>
        <v/>
      </c>
    </row>
    <row r="68" ht="18" customHeight="1">
      <c r="A68" s="26" t="inlineStr">
        <is>
          <t>SKU-064</t>
        </is>
      </c>
      <c r="B68" s="27" t="inlineStr">
        <is>
          <t>Screen Cleaner 250ml</t>
        </is>
      </c>
      <c r="C68" s="16" t="inlineStr">
        <is>
          <t>Cleaning</t>
        </is>
      </c>
      <c r="D68" s="27" t="inlineStr">
        <is>
          <t>CleanPro Dist.</t>
        </is>
      </c>
      <c r="E68" s="17" t="n">
        <v>3</v>
      </c>
      <c r="F68" s="17" t="n">
        <v>7.99</v>
      </c>
      <c r="G68" s="28" t="n">
        <v>22</v>
      </c>
      <c r="H68" s="28" t="n">
        <v>10</v>
      </c>
      <c r="I68" s="28" t="n">
        <v>20</v>
      </c>
      <c r="J68" s="16" t="inlineStr">
        <is>
          <t>F1-02</t>
        </is>
      </c>
      <c r="K68" s="24">
        <f>G68*E68</f>
        <v/>
      </c>
      <c r="L68" s="13">
        <f>F68-E68</f>
        <v/>
      </c>
      <c r="M68" s="25">
        <f>IF(F68&gt;0,(F68-E68)/F68,0)</f>
        <v/>
      </c>
    </row>
    <row r="69" ht="18" customHeight="1">
      <c r="A69" s="21" t="inlineStr">
        <is>
          <t>SKU-065</t>
        </is>
      </c>
      <c r="B69" s="22" t="inlineStr">
        <is>
          <t>Microfibre Cloth - Pack of 5</t>
        </is>
      </c>
      <c r="C69" s="10" t="inlineStr">
        <is>
          <t>Cleaning</t>
        </is>
      </c>
      <c r="D69" s="22" t="inlineStr">
        <is>
          <t>CleanPro Dist.</t>
        </is>
      </c>
      <c r="E69" s="11" t="n">
        <v>2.5</v>
      </c>
      <c r="F69" s="11" t="n">
        <v>6.99</v>
      </c>
      <c r="G69" s="23" t="n">
        <v>35</v>
      </c>
      <c r="H69" s="23" t="n">
        <v>15</v>
      </c>
      <c r="I69" s="23" t="n">
        <v>30</v>
      </c>
      <c r="J69" s="10" t="inlineStr">
        <is>
          <t>F1-03</t>
        </is>
      </c>
      <c r="K69" s="24">
        <f>G69*E69</f>
        <v/>
      </c>
      <c r="L69" s="13">
        <f>F69-E69</f>
        <v/>
      </c>
      <c r="M69" s="25">
        <f>IF(F69&gt;0,(F69-E69)/F69,0)</f>
        <v/>
      </c>
    </row>
    <row r="70" ht="18" customHeight="1">
      <c r="A70" s="26" t="inlineStr">
        <is>
          <t>SKU-066</t>
        </is>
      </c>
      <c r="B70" s="27" t="inlineStr">
        <is>
          <t>Hand Sanitizer 500ml</t>
        </is>
      </c>
      <c r="C70" s="16" t="inlineStr">
        <is>
          <t>Cleaning</t>
        </is>
      </c>
      <c r="D70" s="27" t="inlineStr">
        <is>
          <t>CleanPro Dist.</t>
        </is>
      </c>
      <c r="E70" s="17" t="n">
        <v>3.5</v>
      </c>
      <c r="F70" s="17" t="n">
        <v>8.5</v>
      </c>
      <c r="G70" s="28" t="n">
        <v>48</v>
      </c>
      <c r="H70" s="28" t="n">
        <v>20</v>
      </c>
      <c r="I70" s="28" t="n">
        <v>40</v>
      </c>
      <c r="J70" s="16" t="inlineStr">
        <is>
          <t>F1-04</t>
        </is>
      </c>
      <c r="K70" s="24">
        <f>G70*E70</f>
        <v/>
      </c>
      <c r="L70" s="13">
        <f>F70-E70</f>
        <v/>
      </c>
      <c r="M70" s="25">
        <f>IF(F70&gt;0,(F70-E70)/F70,0)</f>
        <v/>
      </c>
    </row>
    <row r="71" ht="18" customHeight="1">
      <c r="A71" s="21" t="inlineStr">
        <is>
          <t>SKU-067</t>
        </is>
      </c>
      <c r="B71" s="22" t="inlineStr">
        <is>
          <t>Disinfectant Wipes - 80 pcs</t>
        </is>
      </c>
      <c r="C71" s="10" t="inlineStr">
        <is>
          <t>Cleaning</t>
        </is>
      </c>
      <c r="D71" s="22" t="inlineStr">
        <is>
          <t>CleanPro Dist.</t>
        </is>
      </c>
      <c r="E71" s="11" t="n">
        <v>2.8</v>
      </c>
      <c r="F71" s="11" t="n">
        <v>6.99</v>
      </c>
      <c r="G71" s="23" t="n">
        <v>55</v>
      </c>
      <c r="H71" s="23" t="n">
        <v>22</v>
      </c>
      <c r="I71" s="23" t="n">
        <v>44</v>
      </c>
      <c r="J71" s="10" t="inlineStr">
        <is>
          <t>F1-05</t>
        </is>
      </c>
      <c r="K71" s="24">
        <f>G71*E71</f>
        <v/>
      </c>
      <c r="L71" s="13">
        <f>F71-E71</f>
        <v/>
      </c>
      <c r="M71" s="25">
        <f>IF(F71&gt;0,(F71-E71)/F71,0)</f>
        <v/>
      </c>
    </row>
    <row r="72" ht="18" customHeight="1">
      <c r="A72" s="26" t="inlineStr">
        <is>
          <t>SKU-068</t>
        </is>
      </c>
      <c r="B72" s="27" t="inlineStr">
        <is>
          <t>Bin Bags - 50L Pack of 20</t>
        </is>
      </c>
      <c r="C72" s="16" t="inlineStr">
        <is>
          <t>Cleaning</t>
        </is>
      </c>
      <c r="D72" s="27" t="inlineStr">
        <is>
          <t>CleanPro Dist.</t>
        </is>
      </c>
      <c r="E72" s="17" t="n">
        <v>2.2</v>
      </c>
      <c r="F72" s="17" t="n">
        <v>5.5</v>
      </c>
      <c r="G72" s="28" t="n">
        <v>40</v>
      </c>
      <c r="H72" s="28" t="n">
        <v>16</v>
      </c>
      <c r="I72" s="28" t="n">
        <v>32</v>
      </c>
      <c r="J72" s="16" t="inlineStr">
        <is>
          <t>F1-06</t>
        </is>
      </c>
      <c r="K72" s="24">
        <f>G72*E72</f>
        <v/>
      </c>
      <c r="L72" s="13">
        <f>F72-E72</f>
        <v/>
      </c>
      <c r="M72" s="25">
        <f>IF(F72&gt;0,(F72-E72)/F72,0)</f>
        <v/>
      </c>
    </row>
    <row r="73" ht="18" customHeight="1">
      <c r="A73" s="21" t="inlineStr">
        <is>
          <t>SKU-069</t>
        </is>
      </c>
      <c r="B73" s="22" t="inlineStr">
        <is>
          <t>Toilet Paper - 9 Rolls</t>
        </is>
      </c>
      <c r="C73" s="10" t="inlineStr">
        <is>
          <t>Cleaning</t>
        </is>
      </c>
      <c r="D73" s="22" t="inlineStr">
        <is>
          <t>CleanPro Dist.</t>
        </is>
      </c>
      <c r="E73" s="11" t="n">
        <v>4</v>
      </c>
      <c r="F73" s="11" t="n">
        <v>9.99</v>
      </c>
      <c r="G73" s="23" t="n">
        <v>30</v>
      </c>
      <c r="H73" s="23" t="n">
        <v>12</v>
      </c>
      <c r="I73" s="23" t="n">
        <v>30</v>
      </c>
      <c r="J73" s="10" t="inlineStr">
        <is>
          <t>F2-01</t>
        </is>
      </c>
      <c r="K73" s="24">
        <f>G73*E73</f>
        <v/>
      </c>
      <c r="L73" s="13">
        <f>F73-E73</f>
        <v/>
      </c>
      <c r="M73" s="25">
        <f>IF(F73&gt;0,(F73-E73)/F73,0)</f>
        <v/>
      </c>
    </row>
    <row r="74" ht="18" customHeight="1">
      <c r="A74" s="26" t="inlineStr">
        <is>
          <t>SKU-070</t>
        </is>
      </c>
      <c r="B74" s="27" t="inlineStr">
        <is>
          <t>Paper Towel Roll - 4 Pack</t>
        </is>
      </c>
      <c r="C74" s="16" t="inlineStr">
        <is>
          <t>Cleaning</t>
        </is>
      </c>
      <c r="D74" s="27" t="inlineStr">
        <is>
          <t>CleanPro Dist.</t>
        </is>
      </c>
      <c r="E74" s="17" t="n">
        <v>3.5</v>
      </c>
      <c r="F74" s="17" t="n">
        <v>8.99</v>
      </c>
      <c r="G74" s="28" t="n">
        <v>28</v>
      </c>
      <c r="H74" s="28" t="n">
        <v>12</v>
      </c>
      <c r="I74" s="28" t="n">
        <v>25</v>
      </c>
      <c r="J74" s="16" t="inlineStr">
        <is>
          <t>F2-02</t>
        </is>
      </c>
      <c r="K74" s="24">
        <f>G74*E74</f>
        <v/>
      </c>
      <c r="L74" s="13">
        <f>F74-E74</f>
        <v/>
      </c>
      <c r="M74" s="25">
        <f>IF(F74&gt;0,(F74-E74)/F74,0)</f>
        <v/>
      </c>
    </row>
    <row r="75" ht="18" customHeight="1">
      <c r="A75" s="21" t="inlineStr">
        <is>
          <t>SKU-071</t>
        </is>
      </c>
      <c r="B75" s="22" t="inlineStr">
        <is>
          <t>AA Batteries - Pack of 12</t>
        </is>
      </c>
      <c r="C75" s="10" t="inlineStr">
        <is>
          <t>Technology</t>
        </is>
      </c>
      <c r="D75" s="22" t="inlineStr">
        <is>
          <t>DigiTech Wholesale</t>
        </is>
      </c>
      <c r="E75" s="11" t="n">
        <v>4.2</v>
      </c>
      <c r="F75" s="11" t="n">
        <v>10.99</v>
      </c>
      <c r="G75" s="23" t="n">
        <v>42</v>
      </c>
      <c r="H75" s="23" t="n">
        <v>15</v>
      </c>
      <c r="I75" s="23" t="n">
        <v>30</v>
      </c>
      <c r="J75" s="10" t="inlineStr">
        <is>
          <t>D2-03</t>
        </is>
      </c>
      <c r="K75" s="24">
        <f>G75*E75</f>
        <v/>
      </c>
      <c r="L75" s="13">
        <f>F75-E75</f>
        <v/>
      </c>
      <c r="M75" s="25">
        <f>IF(F75&gt;0,(F75-E75)/F75,0)</f>
        <v/>
      </c>
    </row>
    <row r="76" ht="18" customHeight="1">
      <c r="A76" s="26" t="inlineStr">
        <is>
          <t>SKU-072</t>
        </is>
      </c>
      <c r="B76" s="27" t="inlineStr">
        <is>
          <t>AAA Batteries - Pack of 12</t>
        </is>
      </c>
      <c r="C76" s="16" t="inlineStr">
        <is>
          <t>Technology</t>
        </is>
      </c>
      <c r="D76" s="27" t="inlineStr">
        <is>
          <t>DigiTech Wholesale</t>
        </is>
      </c>
      <c r="E76" s="17" t="n">
        <v>3.8</v>
      </c>
      <c r="F76" s="17" t="n">
        <v>9.99</v>
      </c>
      <c r="G76" s="28" t="n">
        <v>38</v>
      </c>
      <c r="H76" s="28" t="n">
        <v>15</v>
      </c>
      <c r="I76" s="28" t="n">
        <v>30</v>
      </c>
      <c r="J76" s="16" t="inlineStr">
        <is>
          <t>D2-04</t>
        </is>
      </c>
      <c r="K76" s="24">
        <f>G76*E76</f>
        <v/>
      </c>
      <c r="L76" s="13">
        <f>F76-E76</f>
        <v/>
      </c>
      <c r="M76" s="25">
        <f>IF(F76&gt;0,(F76-E76)/F76,0)</f>
        <v/>
      </c>
    </row>
    <row r="77" ht="18" customHeight="1">
      <c r="A77" s="21" t="inlineStr">
        <is>
          <t>SKU-073</t>
        </is>
      </c>
      <c r="B77" s="22" t="inlineStr">
        <is>
          <t>Ethernet Cable Cat6 - 2m</t>
        </is>
      </c>
      <c r="C77" s="10" t="inlineStr">
        <is>
          <t>Technology</t>
        </is>
      </c>
      <c r="D77" s="22" t="inlineStr">
        <is>
          <t>DigiTech Wholesale</t>
        </is>
      </c>
      <c r="E77" s="11" t="n">
        <v>3.5</v>
      </c>
      <c r="F77" s="11" t="n">
        <v>9.99</v>
      </c>
      <c r="G77" s="23" t="n">
        <v>20</v>
      </c>
      <c r="H77" s="23" t="n">
        <v>8</v>
      </c>
      <c r="I77" s="23" t="n">
        <v>15</v>
      </c>
      <c r="J77" s="10" t="inlineStr">
        <is>
          <t>D2-05</t>
        </is>
      </c>
      <c r="K77" s="24">
        <f>G77*E77</f>
        <v/>
      </c>
      <c r="L77" s="13">
        <f>F77-E77</f>
        <v/>
      </c>
      <c r="M77" s="25">
        <f>IF(F77&gt;0,(F77-E77)/F77,0)</f>
        <v/>
      </c>
    </row>
    <row r="78" ht="18" customHeight="1">
      <c r="A78" s="26" t="inlineStr">
        <is>
          <t>SKU-074</t>
        </is>
      </c>
      <c r="B78" s="27" t="inlineStr">
        <is>
          <t>Ethernet Cable Cat6 - 5m</t>
        </is>
      </c>
      <c r="C78" s="16" t="inlineStr">
        <is>
          <t>Technology</t>
        </is>
      </c>
      <c r="D78" s="27" t="inlineStr">
        <is>
          <t>DigiTech Wholesale</t>
        </is>
      </c>
      <c r="E78" s="17" t="n">
        <v>5.5</v>
      </c>
      <c r="F78" s="17" t="n">
        <v>14.99</v>
      </c>
      <c r="G78" s="28" t="n">
        <v>15</v>
      </c>
      <c r="H78" s="28" t="n">
        <v>6</v>
      </c>
      <c r="I78" s="28" t="n">
        <v>12</v>
      </c>
      <c r="J78" s="16" t="inlineStr">
        <is>
          <t>D2-06</t>
        </is>
      </c>
      <c r="K78" s="24">
        <f>G78*E78</f>
        <v/>
      </c>
      <c r="L78" s="13">
        <f>F78-E78</f>
        <v/>
      </c>
      <c r="M78" s="25">
        <f>IF(F78&gt;0,(F78-E78)/F78,0)</f>
        <v/>
      </c>
    </row>
    <row r="79" ht="18" customHeight="1">
      <c r="A79" s="21" t="inlineStr">
        <is>
          <t>SKU-075</t>
        </is>
      </c>
      <c r="B79" s="22" t="inlineStr">
        <is>
          <t>Phone Charging Cable USB-C</t>
        </is>
      </c>
      <c r="C79" s="10" t="inlineStr">
        <is>
          <t>Technology</t>
        </is>
      </c>
      <c r="D79" s="22" t="inlineStr">
        <is>
          <t>DigiTech Wholesale</t>
        </is>
      </c>
      <c r="E79" s="11" t="n">
        <v>4</v>
      </c>
      <c r="F79" s="11" t="n">
        <v>11.99</v>
      </c>
      <c r="G79" s="23" t="n">
        <v>35</v>
      </c>
      <c r="H79" s="23" t="n">
        <v>14</v>
      </c>
      <c r="I79" s="23" t="n">
        <v>28</v>
      </c>
      <c r="J79" s="10" t="inlineStr">
        <is>
          <t>D2-07</t>
        </is>
      </c>
      <c r="K79" s="24">
        <f>G79*E79</f>
        <v/>
      </c>
      <c r="L79" s="13">
        <f>F79-E79</f>
        <v/>
      </c>
      <c r="M79" s="25">
        <f>IF(F79&gt;0,(F79-E79)/F79,0)</f>
        <v/>
      </c>
    </row>
    <row r="80" ht="18" customHeight="1">
      <c r="A80" s="26" t="inlineStr">
        <is>
          <t>SKU-076</t>
        </is>
      </c>
      <c r="B80" s="27" t="inlineStr">
        <is>
          <t>Power Bank 10000mAh</t>
        </is>
      </c>
      <c r="C80" s="16" t="inlineStr">
        <is>
          <t>Technology</t>
        </is>
      </c>
      <c r="D80" s="27" t="inlineStr">
        <is>
          <t>DigiTech Wholesale</t>
        </is>
      </c>
      <c r="E80" s="17" t="n">
        <v>18</v>
      </c>
      <c r="F80" s="17" t="n">
        <v>42.99</v>
      </c>
      <c r="G80" s="28" t="n">
        <v>12</v>
      </c>
      <c r="H80" s="28" t="n">
        <v>5</v>
      </c>
      <c r="I80" s="28" t="n">
        <v>10</v>
      </c>
      <c r="J80" s="16" t="inlineStr">
        <is>
          <t>D3-01</t>
        </is>
      </c>
      <c r="K80" s="24">
        <f>G80*E80</f>
        <v/>
      </c>
      <c r="L80" s="13">
        <f>F80-E80</f>
        <v/>
      </c>
      <c r="M80" s="25">
        <f>IF(F80&gt;0,(F80-E80)/F80,0)</f>
        <v/>
      </c>
    </row>
    <row r="81" ht="18" customHeight="1">
      <c r="A81" s="21" t="inlineStr">
        <is>
          <t>SKU-077</t>
        </is>
      </c>
      <c r="B81" s="22" t="inlineStr">
        <is>
          <t>Wireless Keyboard</t>
        </is>
      </c>
      <c r="C81" s="10" t="inlineStr">
        <is>
          <t>Technology</t>
        </is>
      </c>
      <c r="D81" s="22" t="inlineStr">
        <is>
          <t>DigiTech Wholesale</t>
        </is>
      </c>
      <c r="E81" s="11" t="n">
        <v>22</v>
      </c>
      <c r="F81" s="11" t="n">
        <v>54.99</v>
      </c>
      <c r="G81" s="23" t="n">
        <v>8</v>
      </c>
      <c r="H81" s="23" t="n">
        <v>4</v>
      </c>
      <c r="I81" s="23" t="n">
        <v>8</v>
      </c>
      <c r="J81" s="10" t="inlineStr">
        <is>
          <t>D3-02</t>
        </is>
      </c>
      <c r="K81" s="24">
        <f>G81*E81</f>
        <v/>
      </c>
      <c r="L81" s="13">
        <f>F81-E81</f>
        <v/>
      </c>
      <c r="M81" s="25">
        <f>IF(F81&gt;0,(F81-E81)/F81,0)</f>
        <v/>
      </c>
    </row>
    <row r="82" ht="18" customHeight="1">
      <c r="A82" s="26" t="inlineStr">
        <is>
          <t>SKU-078</t>
        </is>
      </c>
      <c r="B82" s="27" t="inlineStr">
        <is>
          <t>Wireless Mouse</t>
        </is>
      </c>
      <c r="C82" s="16" t="inlineStr">
        <is>
          <t>Technology</t>
        </is>
      </c>
      <c r="D82" s="27" t="inlineStr">
        <is>
          <t>DigiTech Wholesale</t>
        </is>
      </c>
      <c r="E82" s="17" t="n">
        <v>15</v>
      </c>
      <c r="F82" s="17" t="n">
        <v>37.99</v>
      </c>
      <c r="G82" s="28" t="n">
        <v>10</v>
      </c>
      <c r="H82" s="28" t="n">
        <v>4</v>
      </c>
      <c r="I82" s="28" t="n">
        <v>8</v>
      </c>
      <c r="J82" s="16" t="inlineStr">
        <is>
          <t>D3-03</t>
        </is>
      </c>
      <c r="K82" s="24">
        <f>G82*E82</f>
        <v/>
      </c>
      <c r="L82" s="13">
        <f>F82-E82</f>
        <v/>
      </c>
      <c r="M82" s="25">
        <f>IF(F82&gt;0,(F82-E82)/F82,0)</f>
        <v/>
      </c>
    </row>
    <row r="83" ht="18" customHeight="1">
      <c r="A83" s="21" t="inlineStr">
        <is>
          <t>SKU-079</t>
        </is>
      </c>
      <c r="B83" s="22" t="inlineStr">
        <is>
          <t>Desk Fan (USB)</t>
        </is>
      </c>
      <c r="C83" s="10" t="inlineStr">
        <is>
          <t>Technology</t>
        </is>
      </c>
      <c r="D83" s="22" t="inlineStr">
        <is>
          <t>DigiTech Wholesale</t>
        </is>
      </c>
      <c r="E83" s="11" t="n">
        <v>12</v>
      </c>
      <c r="F83" s="11" t="n">
        <v>28.99</v>
      </c>
      <c r="G83" s="23" t="n">
        <v>14</v>
      </c>
      <c r="H83" s="23" t="n">
        <v>5</v>
      </c>
      <c r="I83" s="23" t="n">
        <v>10</v>
      </c>
      <c r="J83" s="10" t="inlineStr">
        <is>
          <t>D3-04</t>
        </is>
      </c>
      <c r="K83" s="24">
        <f>G83*E83</f>
        <v/>
      </c>
      <c r="L83" s="13">
        <f>F83-E83</f>
        <v/>
      </c>
      <c r="M83" s="25">
        <f>IF(F83&gt;0,(F83-E83)/F83,0)</f>
        <v/>
      </c>
    </row>
    <row r="84" ht="18" customHeight="1">
      <c r="A84" s="26" t="inlineStr">
        <is>
          <t>SKU-080</t>
        </is>
      </c>
      <c r="B84" s="27" t="inlineStr">
        <is>
          <t>Cable Organizer Kit</t>
        </is>
      </c>
      <c r="C84" s="16" t="inlineStr">
        <is>
          <t>Technology</t>
        </is>
      </c>
      <c r="D84" s="27" t="inlineStr">
        <is>
          <t>DigiTech Wholesale</t>
        </is>
      </c>
      <c r="E84" s="17" t="n">
        <v>5.5</v>
      </c>
      <c r="F84" s="17" t="n">
        <v>14.99</v>
      </c>
      <c r="G84" s="28" t="n">
        <v>25</v>
      </c>
      <c r="H84" s="28" t="n">
        <v>10</v>
      </c>
      <c r="I84" s="28" t="n">
        <v>20</v>
      </c>
      <c r="J84" s="16" t="inlineStr">
        <is>
          <t>D3-05</t>
        </is>
      </c>
      <c r="K84" s="24">
        <f>G84*E84</f>
        <v/>
      </c>
      <c r="L84" s="13">
        <f>F84-E84</f>
        <v/>
      </c>
      <c r="M84" s="25">
        <f>IF(F84&gt;0,(F84-E84)/F84,0)</f>
        <v/>
      </c>
    </row>
  </sheetData>
  <mergeCells count="2">
    <mergeCell ref="A2:M2"/>
    <mergeCell ref="A1:M1"/>
  </mergeCells>
  <conditionalFormatting sqref="G5:G84">
    <cfRule type="expression" priority="1" dxfId="0">
      <formula>G5&lt;=H5</formula>
    </cfRule>
  </conditionalFormatting>
  <conditionalFormatting sqref="M5:M8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6" customWidth="1" min="3" max="3"/>
    <col width="22" customWidth="1" min="4" max="4"/>
    <col width="13" customWidth="1" min="5" max="5"/>
    <col width="10" customWidth="1" min="6" max="6"/>
    <col width="11" customWidth="1" min="7" max="7"/>
    <col width="16" customWidth="1" min="8" max="8"/>
  </cols>
  <sheetData>
    <row r="1" ht="40" customHeight="1">
      <c r="A1" s="29" t="inlineStr">
        <is>
          <t>ABC Store — Low Stock Alerts &amp; Reorder Required</t>
        </is>
      </c>
    </row>
    <row r="2" ht="18" customHeight="1">
      <c r="A2" s="30" t="inlineStr">
        <is>
          <t>Farhan Siddique | Virtual Assistant &amp; Data Specialist | May 2026 | AUTO-FLAGGED: Stock at or below minimum</t>
        </is>
      </c>
    </row>
    <row r="4" ht="30" customHeight="1">
      <c r="A4" s="31" t="inlineStr">
        <is>
          <t>CRITICAL ALERT: 0 products require immediate reordering</t>
        </is>
      </c>
    </row>
    <row r="6" ht="22" customHeight="1">
      <c r="A6" s="32" t="inlineStr">
        <is>
          <t>SKU</t>
        </is>
      </c>
      <c r="B6" s="32" t="inlineStr">
        <is>
          <t>Product Name</t>
        </is>
      </c>
      <c r="C6" s="32" t="inlineStr">
        <is>
          <t>Category</t>
        </is>
      </c>
      <c r="D6" s="32" t="inlineStr">
        <is>
          <t>Supplier</t>
        </is>
      </c>
      <c r="E6" s="32" t="inlineStr">
        <is>
          <t>Current Stock</t>
        </is>
      </c>
      <c r="F6" s="32" t="inlineStr">
        <is>
          <t>Min Stock</t>
        </is>
      </c>
      <c r="G6" s="32" t="inlineStr">
        <is>
          <t>Reorder Qty</t>
        </is>
      </c>
      <c r="H6" s="32" t="inlineStr">
        <is>
          <t>Est. Order Cost ($)</t>
        </is>
      </c>
    </row>
    <row r="7" ht="22" customHeight="1">
      <c r="A7" s="32" t="inlineStr">
        <is>
          <t>TOTAL REORDER COST</t>
        </is>
      </c>
      <c r="B7" s="32" t="inlineStr"/>
      <c r="C7" s="32" t="inlineStr"/>
      <c r="D7" s="32" t="inlineStr"/>
      <c r="E7" s="32" t="inlineStr"/>
      <c r="F7" s="32" t="inlineStr"/>
      <c r="G7" s="32" t="inlineStr"/>
      <c r="H7" s="33">
        <f>SUM(H7:H6)</f>
        <v/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22" customWidth="1" min="5" max="5"/>
    <col width="10" customWidth="1" min="6" max="6"/>
    <col width="12" customWidth="1" min="7" max="7"/>
    <col width="13" customWidth="1" min="8" max="8"/>
    <col width="10" customWidth="1" min="9" max="9"/>
    <col width="16" customWidth="1" min="10" max="10"/>
  </cols>
  <sheetData>
    <row r="1" ht="40" customHeight="1">
      <c r="A1" s="19" t="inlineStr">
        <is>
          <t>ABC Store — Purchase Reorder Log 2026</t>
        </is>
      </c>
    </row>
    <row r="2" ht="18" customHeight="1">
      <c r="A2" s="2" t="inlineStr">
        <is>
          <t>Farhan Siddique | Virtual Assistant &amp; Data Specialist | May 2026</t>
        </is>
      </c>
    </row>
    <row r="4" ht="22" customHeight="1">
      <c r="A4" s="8" t="inlineStr">
        <is>
          <t>PO Number</t>
        </is>
      </c>
      <c r="B4" s="8" t="inlineStr">
        <is>
          <t>Order Date</t>
        </is>
      </c>
      <c r="C4" s="8" t="inlineStr">
        <is>
          <t>SKU</t>
        </is>
      </c>
      <c r="D4" s="8" t="inlineStr">
        <is>
          <t>Product</t>
        </is>
      </c>
      <c r="E4" s="8" t="inlineStr">
        <is>
          <t>Supplier</t>
        </is>
      </c>
      <c r="F4" s="8" t="inlineStr">
        <is>
          <t>Qty Ordered</t>
        </is>
      </c>
      <c r="G4" s="8" t="inlineStr">
        <is>
          <t>Unit Cost ($)</t>
        </is>
      </c>
      <c r="H4" s="8" t="inlineStr">
        <is>
          <t>Total Cost ($)</t>
        </is>
      </c>
      <c r="I4" s="8" t="inlineStr">
        <is>
          <t>Status</t>
        </is>
      </c>
      <c r="J4" s="8" t="inlineStr">
        <is>
          <t>Expected Delivery</t>
        </is>
      </c>
    </row>
    <row r="5" ht="18" customHeight="1">
      <c r="A5" s="21" t="inlineStr">
        <is>
          <t>RO-001</t>
        </is>
      </c>
      <c r="B5" s="10" t="inlineStr">
        <is>
          <t>03-Jan-26</t>
        </is>
      </c>
      <c r="C5" s="34" t="inlineStr">
        <is>
          <t>SKU-003</t>
        </is>
      </c>
      <c r="D5" s="22" t="inlineStr">
        <is>
          <t>A4 Printer Paper - 500 Sheets</t>
        </is>
      </c>
      <c r="E5" s="22" t="inlineStr">
        <is>
          <t>PaperWorld Ltd</t>
        </is>
      </c>
      <c r="F5" s="10" t="n">
        <v>100</v>
      </c>
      <c r="G5" s="11" t="n">
        <v>4.2</v>
      </c>
      <c r="H5" s="11">
        <f>F5*G5</f>
        <v/>
      </c>
      <c r="I5" s="14" t="inlineStr">
        <is>
          <t>Received</t>
        </is>
      </c>
      <c r="J5" s="10" t="inlineStr">
        <is>
          <t>10-Jan-26</t>
        </is>
      </c>
    </row>
    <row r="6" ht="18" customHeight="1">
      <c r="A6" s="26" t="inlineStr">
        <is>
          <t>RO-002</t>
        </is>
      </c>
      <c r="B6" s="16" t="inlineStr">
        <is>
          <t>05-Jan-26</t>
        </is>
      </c>
      <c r="C6" s="35" t="inlineStr">
        <is>
          <t>SKU-021</t>
        </is>
      </c>
      <c r="D6" s="27" t="inlineStr">
        <is>
          <t>Ink Toner - Black (HP)</t>
        </is>
      </c>
      <c r="E6" s="27" t="inlineStr">
        <is>
          <t>PrintMax Corp</t>
        </is>
      </c>
      <c r="F6" s="16" t="n">
        <v>15</v>
      </c>
      <c r="G6" s="17" t="n">
        <v>22</v>
      </c>
      <c r="H6" s="17">
        <f>F6*G6</f>
        <v/>
      </c>
      <c r="I6" s="14" t="inlineStr">
        <is>
          <t>Received</t>
        </is>
      </c>
      <c r="J6" s="16" t="inlineStr">
        <is>
          <t>14-Jan-26</t>
        </is>
      </c>
    </row>
    <row r="7" ht="18" customHeight="1">
      <c r="A7" s="21" t="inlineStr">
        <is>
          <t>RO-003</t>
        </is>
      </c>
      <c r="B7" s="10" t="inlineStr">
        <is>
          <t>10-Jan-26</t>
        </is>
      </c>
      <c r="C7" s="34" t="inlineStr">
        <is>
          <t>SKU-055</t>
        </is>
      </c>
      <c r="D7" s="22" t="inlineStr">
        <is>
          <t>Box - Small 20x15x10cm</t>
        </is>
      </c>
      <c r="E7" s="22" t="inlineStr">
        <is>
          <t>PackRight Solutions</t>
        </is>
      </c>
      <c r="F7" s="10" t="n">
        <v>200</v>
      </c>
      <c r="G7" s="11" t="n">
        <v>0.8</v>
      </c>
      <c r="H7" s="11">
        <f>F7*G7</f>
        <v/>
      </c>
      <c r="I7" s="14" t="inlineStr">
        <is>
          <t>Received</t>
        </is>
      </c>
      <c r="J7" s="10" t="inlineStr">
        <is>
          <t>17-Jan-26</t>
        </is>
      </c>
    </row>
    <row r="8" ht="18" customHeight="1">
      <c r="A8" s="26" t="inlineStr">
        <is>
          <t>RO-004</t>
        </is>
      </c>
      <c r="B8" s="16" t="inlineStr">
        <is>
          <t>15-Jan-26</t>
        </is>
      </c>
      <c r="C8" s="35" t="inlineStr">
        <is>
          <t>SKU-001</t>
        </is>
      </c>
      <c r="D8" s="27" t="inlineStr">
        <is>
          <t>Ballpoint Pen Blue Box 50</t>
        </is>
      </c>
      <c r="E8" s="27" t="inlineStr">
        <is>
          <t>Office Plus Supply Co.</t>
        </is>
      </c>
      <c r="F8" s="16" t="n">
        <v>50</v>
      </c>
      <c r="G8" s="17" t="n">
        <v>3.5</v>
      </c>
      <c r="H8" s="17">
        <f>F8*G8</f>
        <v/>
      </c>
      <c r="I8" s="14" t="inlineStr">
        <is>
          <t>Received</t>
        </is>
      </c>
      <c r="J8" s="16" t="inlineStr">
        <is>
          <t>22-Jan-26</t>
        </is>
      </c>
    </row>
    <row r="9" ht="18" customHeight="1">
      <c r="A9" s="21" t="inlineStr">
        <is>
          <t>RO-005</t>
        </is>
      </c>
      <c r="B9" s="10" t="inlineStr">
        <is>
          <t>20-Jan-26</t>
        </is>
      </c>
      <c r="C9" s="34" t="inlineStr">
        <is>
          <t>SKU-054</t>
        </is>
      </c>
      <c r="D9" s="22" t="inlineStr">
        <is>
          <t>Packing Tape</t>
        </is>
      </c>
      <c r="E9" s="22" t="inlineStr">
        <is>
          <t>PackRight Solutions</t>
        </is>
      </c>
      <c r="F9" s="10" t="n">
        <v>80</v>
      </c>
      <c r="G9" s="11" t="n">
        <v>1.8</v>
      </c>
      <c r="H9" s="11">
        <f>F9*G9</f>
        <v/>
      </c>
      <c r="I9" s="14" t="inlineStr">
        <is>
          <t>Received</t>
        </is>
      </c>
      <c r="J9" s="10" t="inlineStr">
        <is>
          <t>28-Jan-26</t>
        </is>
      </c>
    </row>
    <row r="10" ht="18" customHeight="1">
      <c r="A10" s="26" t="inlineStr">
        <is>
          <t>RO-006</t>
        </is>
      </c>
      <c r="B10" s="16" t="inlineStr">
        <is>
          <t>02-Feb-26</t>
        </is>
      </c>
      <c r="C10" s="35" t="inlineStr">
        <is>
          <t>SKU-011</t>
        </is>
      </c>
      <c r="D10" s="27" t="inlineStr">
        <is>
          <t>Stapler Heavy Duty</t>
        </is>
      </c>
      <c r="E10" s="27" t="inlineStr">
        <is>
          <t>TechOffice Supplies</t>
        </is>
      </c>
      <c r="F10" s="16" t="n">
        <v>20</v>
      </c>
      <c r="G10" s="17" t="n">
        <v>8</v>
      </c>
      <c r="H10" s="17">
        <f>F10*G10</f>
        <v/>
      </c>
      <c r="I10" s="14" t="inlineStr">
        <is>
          <t>Received</t>
        </is>
      </c>
      <c r="J10" s="16" t="inlineStr">
        <is>
          <t>10-Feb-26</t>
        </is>
      </c>
    </row>
    <row r="11" ht="18" customHeight="1">
      <c r="A11" s="21" t="inlineStr">
        <is>
          <t>RO-007</t>
        </is>
      </c>
      <c r="B11" s="10" t="inlineStr">
        <is>
          <t>08-Feb-26</t>
        </is>
      </c>
      <c r="C11" s="34" t="inlineStr">
        <is>
          <t>SKU-022</t>
        </is>
      </c>
      <c r="D11" s="22" t="inlineStr">
        <is>
          <t>Ink Toner - Color (HP)</t>
        </is>
      </c>
      <c r="E11" s="22" t="inlineStr">
        <is>
          <t>PrintMax Corp</t>
        </is>
      </c>
      <c r="F11" s="10" t="n">
        <v>10</v>
      </c>
      <c r="G11" s="11" t="n">
        <v>28</v>
      </c>
      <c r="H11" s="11">
        <f>F11*G11</f>
        <v/>
      </c>
      <c r="I11" s="14" t="inlineStr">
        <is>
          <t>Received</t>
        </is>
      </c>
      <c r="J11" s="10" t="inlineStr">
        <is>
          <t>16-Feb-26</t>
        </is>
      </c>
    </row>
    <row r="12" ht="18" customHeight="1">
      <c r="A12" s="26" t="inlineStr">
        <is>
          <t>RO-008</t>
        </is>
      </c>
      <c r="B12" s="16" t="inlineStr">
        <is>
          <t>14-Feb-26</t>
        </is>
      </c>
      <c r="C12" s="35" t="inlineStr">
        <is>
          <t>SKU-025</t>
        </is>
      </c>
      <c r="D12" s="27" t="inlineStr">
        <is>
          <t>USB Flash Drive 32GB</t>
        </is>
      </c>
      <c r="E12" s="27" t="inlineStr">
        <is>
          <t>DigiTech Wholesale</t>
        </is>
      </c>
      <c r="F12" s="16" t="n">
        <v>30</v>
      </c>
      <c r="G12" s="17" t="n">
        <v>4.5</v>
      </c>
      <c r="H12" s="17">
        <f>F12*G12</f>
        <v/>
      </c>
      <c r="I12" s="14" t="inlineStr">
        <is>
          <t>Received</t>
        </is>
      </c>
      <c r="J12" s="16" t="inlineStr">
        <is>
          <t>21-Feb-26</t>
        </is>
      </c>
    </row>
    <row r="13" ht="18" customHeight="1">
      <c r="A13" s="21" t="inlineStr">
        <is>
          <t>RO-009</t>
        </is>
      </c>
      <c r="B13" s="10" t="inlineStr">
        <is>
          <t>20-Feb-26</t>
        </is>
      </c>
      <c r="C13" s="34" t="inlineStr">
        <is>
          <t>SKU-056</t>
        </is>
      </c>
      <c r="D13" s="22" t="inlineStr">
        <is>
          <t>Box - Medium</t>
        </is>
      </c>
      <c r="E13" s="22" t="inlineStr">
        <is>
          <t>PackRight Solutions</t>
        </is>
      </c>
      <c r="F13" s="10" t="n">
        <v>80</v>
      </c>
      <c r="G13" s="11" t="n">
        <v>1.2</v>
      </c>
      <c r="H13" s="11">
        <f>F13*G13</f>
        <v/>
      </c>
      <c r="I13" s="14" t="inlineStr">
        <is>
          <t>Received</t>
        </is>
      </c>
      <c r="J13" s="10" t="inlineStr">
        <is>
          <t>27-Feb-26</t>
        </is>
      </c>
    </row>
    <row r="14" ht="18" customHeight="1">
      <c r="A14" s="26" t="inlineStr">
        <is>
          <t>RO-010</t>
        </is>
      </c>
      <c r="B14" s="16" t="inlineStr">
        <is>
          <t>25-Feb-26</t>
        </is>
      </c>
      <c r="C14" s="35" t="inlineStr">
        <is>
          <t>SKU-063</t>
        </is>
      </c>
      <c r="D14" s="27" t="inlineStr">
        <is>
          <t>Cleaning Spray</t>
        </is>
      </c>
      <c r="E14" s="27" t="inlineStr">
        <is>
          <t>CleanPro Dist.</t>
        </is>
      </c>
      <c r="F14" s="16" t="n">
        <v>40</v>
      </c>
      <c r="G14" s="17" t="n">
        <v>2</v>
      </c>
      <c r="H14" s="17">
        <f>F14*G14</f>
        <v/>
      </c>
      <c r="I14" s="14" t="inlineStr">
        <is>
          <t>Received</t>
        </is>
      </c>
      <c r="J14" s="16" t="inlineStr">
        <is>
          <t>05-Mar-26</t>
        </is>
      </c>
    </row>
    <row r="15" ht="18" customHeight="1">
      <c r="A15" s="21" t="inlineStr">
        <is>
          <t>RO-011</t>
        </is>
      </c>
      <c r="B15" s="10" t="inlineStr">
        <is>
          <t>03-Mar-26</t>
        </is>
      </c>
      <c r="C15" s="34" t="inlineStr">
        <is>
          <t>SKU-004</t>
        </is>
      </c>
      <c r="D15" s="22" t="inlineStr">
        <is>
          <t>A4 Printer Paper 1000 Sheets</t>
        </is>
      </c>
      <c r="E15" s="22" t="inlineStr">
        <is>
          <t>PaperWorld Ltd</t>
        </is>
      </c>
      <c r="F15" s="10" t="n">
        <v>60</v>
      </c>
      <c r="G15" s="11" t="n">
        <v>7.8</v>
      </c>
      <c r="H15" s="11">
        <f>F15*G15</f>
        <v/>
      </c>
      <c r="I15" s="14" t="inlineStr">
        <is>
          <t>Received</t>
        </is>
      </c>
      <c r="J15" s="10" t="inlineStr">
        <is>
          <t>11-Mar-26</t>
        </is>
      </c>
    </row>
    <row r="16" ht="18" customHeight="1">
      <c r="A16" s="26" t="inlineStr">
        <is>
          <t>RO-012</t>
        </is>
      </c>
      <c r="B16" s="16" t="inlineStr">
        <is>
          <t>08-Mar-26</t>
        </is>
      </c>
      <c r="C16" s="35" t="inlineStr">
        <is>
          <t>SKU-066</t>
        </is>
      </c>
      <c r="D16" s="27" t="inlineStr">
        <is>
          <t>Hand Sanitizer 500ml</t>
        </is>
      </c>
      <c r="E16" s="27" t="inlineStr">
        <is>
          <t>CleanPro Dist.</t>
        </is>
      </c>
      <c r="F16" s="16" t="n">
        <v>40</v>
      </c>
      <c r="G16" s="17" t="n">
        <v>3.5</v>
      </c>
      <c r="H16" s="17">
        <f>F16*G16</f>
        <v/>
      </c>
      <c r="I16" s="14" t="inlineStr">
        <is>
          <t>Received</t>
        </is>
      </c>
      <c r="J16" s="16" t="inlineStr">
        <is>
          <t>15-Mar-26</t>
        </is>
      </c>
    </row>
    <row r="17" ht="18" customHeight="1">
      <c r="A17" s="21" t="inlineStr">
        <is>
          <t>RO-013</t>
        </is>
      </c>
      <c r="B17" s="10" t="inlineStr">
        <is>
          <t>12-Mar-26</t>
        </is>
      </c>
      <c r="C17" s="34" t="inlineStr">
        <is>
          <t>SKU-079</t>
        </is>
      </c>
      <c r="D17" s="22" t="inlineStr">
        <is>
          <t>Desk Fan USB</t>
        </is>
      </c>
      <c r="E17" s="22" t="inlineStr">
        <is>
          <t>DigiTech Wholesale</t>
        </is>
      </c>
      <c r="F17" s="10" t="n">
        <v>10</v>
      </c>
      <c r="G17" s="11" t="n">
        <v>12</v>
      </c>
      <c r="H17" s="11">
        <f>F17*G17</f>
        <v/>
      </c>
      <c r="I17" s="14" t="inlineStr">
        <is>
          <t>Received</t>
        </is>
      </c>
      <c r="J17" s="10" t="inlineStr">
        <is>
          <t>20-Mar-26</t>
        </is>
      </c>
    </row>
    <row r="18" ht="18" customHeight="1">
      <c r="A18" s="26" t="inlineStr">
        <is>
          <t>RO-014</t>
        </is>
      </c>
      <c r="B18" s="16" t="inlineStr">
        <is>
          <t>18-Mar-26</t>
        </is>
      </c>
      <c r="C18" s="35" t="inlineStr">
        <is>
          <t>SKU-016</t>
        </is>
      </c>
      <c r="D18" s="27" t="inlineStr">
        <is>
          <t>Tape Dispenser</t>
        </is>
      </c>
      <c r="E18" s="27" t="inlineStr">
        <is>
          <t>TechOffice Supplies</t>
        </is>
      </c>
      <c r="F18" s="16" t="n">
        <v>15</v>
      </c>
      <c r="G18" s="17" t="n">
        <v>5.5</v>
      </c>
      <c r="H18" s="17">
        <f>F18*G18</f>
        <v/>
      </c>
      <c r="I18" s="14" t="inlineStr">
        <is>
          <t>Received</t>
        </is>
      </c>
      <c r="J18" s="16" t="inlineStr">
        <is>
          <t>25-Mar-26</t>
        </is>
      </c>
    </row>
    <row r="19" ht="18" customHeight="1">
      <c r="A19" s="21" t="inlineStr">
        <is>
          <t>RO-015</t>
        </is>
      </c>
      <c r="B19" s="10" t="inlineStr">
        <is>
          <t>25-Mar-26</t>
        </is>
      </c>
      <c r="C19" s="34" t="inlineStr">
        <is>
          <t>SKU-053</t>
        </is>
      </c>
      <c r="D19" s="22" t="inlineStr">
        <is>
          <t>Bubble Wrap Roll</t>
        </is>
      </c>
      <c r="E19" s="22" t="inlineStr">
        <is>
          <t>PackRight Solutions</t>
        </is>
      </c>
      <c r="F19" s="10" t="n">
        <v>20</v>
      </c>
      <c r="G19" s="11" t="n">
        <v>5.5</v>
      </c>
      <c r="H19" s="11">
        <f>F19*G19</f>
        <v/>
      </c>
      <c r="I19" s="14" t="inlineStr">
        <is>
          <t>Received</t>
        </is>
      </c>
      <c r="J19" s="10" t="inlineStr">
        <is>
          <t>02-Apr-26</t>
        </is>
      </c>
    </row>
    <row r="20" ht="18" customHeight="1">
      <c r="A20" s="26" t="inlineStr">
        <is>
          <t>RO-016</t>
        </is>
      </c>
      <c r="B20" s="16" t="inlineStr">
        <is>
          <t>02-Apr-26</t>
        </is>
      </c>
      <c r="C20" s="35" t="inlineStr">
        <is>
          <t>SKU-023</t>
        </is>
      </c>
      <c r="D20" s="27" t="inlineStr">
        <is>
          <t>Ink Cartridge Black Epson</t>
        </is>
      </c>
      <c r="E20" s="27" t="inlineStr">
        <is>
          <t>PrintMax Corp</t>
        </is>
      </c>
      <c r="F20" s="16" t="n">
        <v>15</v>
      </c>
      <c r="G20" s="17" t="n">
        <v>8.5</v>
      </c>
      <c r="H20" s="17">
        <f>F20*G20</f>
        <v/>
      </c>
      <c r="I20" s="14" t="inlineStr">
        <is>
          <t>Received</t>
        </is>
      </c>
      <c r="J20" s="16" t="inlineStr">
        <is>
          <t>10-Apr-26</t>
        </is>
      </c>
    </row>
    <row r="21" ht="18" customHeight="1">
      <c r="A21" s="21" t="inlineStr">
        <is>
          <t>RO-017</t>
        </is>
      </c>
      <c r="B21" s="10" t="inlineStr">
        <is>
          <t>07-Apr-26</t>
        </is>
      </c>
      <c r="C21" s="34" t="inlineStr">
        <is>
          <t>SKU-076</t>
        </is>
      </c>
      <c r="D21" s="22" t="inlineStr">
        <is>
          <t>Power Bank 10000mAh</t>
        </is>
      </c>
      <c r="E21" s="22" t="inlineStr">
        <is>
          <t>DigiTech Wholesale</t>
        </is>
      </c>
      <c r="F21" s="10" t="n">
        <v>10</v>
      </c>
      <c r="G21" s="11" t="n">
        <v>18</v>
      </c>
      <c r="H21" s="11">
        <f>F21*G21</f>
        <v/>
      </c>
      <c r="I21" s="14" t="inlineStr">
        <is>
          <t>Received</t>
        </is>
      </c>
      <c r="J21" s="10" t="inlineStr">
        <is>
          <t>15-Apr-26</t>
        </is>
      </c>
    </row>
    <row r="22" ht="18" customHeight="1">
      <c r="A22" s="26" t="inlineStr">
        <is>
          <t>RO-018</t>
        </is>
      </c>
      <c r="B22" s="16" t="inlineStr">
        <is>
          <t>14-Apr-26</t>
        </is>
      </c>
      <c r="C22" s="35" t="inlineStr">
        <is>
          <t>SKU-003</t>
        </is>
      </c>
      <c r="D22" s="27" t="inlineStr">
        <is>
          <t>A4 Printer Paper - 500 Sheets</t>
        </is>
      </c>
      <c r="E22" s="27" t="inlineStr">
        <is>
          <t>PaperWorld Ltd</t>
        </is>
      </c>
      <c r="F22" s="16" t="n">
        <v>100</v>
      </c>
      <c r="G22" s="17" t="n">
        <v>4.2</v>
      </c>
      <c r="H22" s="17">
        <f>F22*G22</f>
        <v/>
      </c>
      <c r="I22" s="14" t="inlineStr">
        <is>
          <t>Received</t>
        </is>
      </c>
      <c r="J22" s="16" t="inlineStr">
        <is>
          <t>21-Apr-26</t>
        </is>
      </c>
    </row>
    <row r="23" ht="18" customHeight="1">
      <c r="A23" s="21" t="inlineStr">
        <is>
          <t>RO-019</t>
        </is>
      </c>
      <c r="B23" s="10" t="inlineStr">
        <is>
          <t>20-Apr-26</t>
        </is>
      </c>
      <c r="C23" s="34" t="inlineStr">
        <is>
          <t>SKU-077</t>
        </is>
      </c>
      <c r="D23" s="22" t="inlineStr">
        <is>
          <t>Wireless Keyboard</t>
        </is>
      </c>
      <c r="E23" s="22" t="inlineStr">
        <is>
          <t>DigiTech Wholesale</t>
        </is>
      </c>
      <c r="F23" s="10" t="n">
        <v>8</v>
      </c>
      <c r="G23" s="11" t="n">
        <v>22</v>
      </c>
      <c r="H23" s="11">
        <f>F23*G23</f>
        <v/>
      </c>
      <c r="I23" s="36" t="inlineStr">
        <is>
          <t>Ordered</t>
        </is>
      </c>
      <c r="J23" s="10" t="inlineStr">
        <is>
          <t>27-Apr-26</t>
        </is>
      </c>
    </row>
    <row r="24" ht="18" customHeight="1">
      <c r="A24" s="26" t="inlineStr">
        <is>
          <t>RO-020</t>
        </is>
      </c>
      <c r="B24" s="16" t="inlineStr">
        <is>
          <t>25-Apr-26</t>
        </is>
      </c>
      <c r="C24" s="35" t="inlineStr">
        <is>
          <t>SKU-059</t>
        </is>
      </c>
      <c r="D24" s="27" t="inlineStr">
        <is>
          <t>Stretch Wrap Film</t>
        </is>
      </c>
      <c r="E24" s="27" t="inlineStr">
        <is>
          <t>PackRight Solutions</t>
        </is>
      </c>
      <c r="F24" s="16" t="n">
        <v>15</v>
      </c>
      <c r="G24" s="17" t="n">
        <v>7</v>
      </c>
      <c r="H24" s="17">
        <f>F24*G24</f>
        <v/>
      </c>
      <c r="I24" s="36" t="inlineStr">
        <is>
          <t>Ordered</t>
        </is>
      </c>
      <c r="J24" s="16" t="inlineStr">
        <is>
          <t>02-May-26</t>
        </is>
      </c>
    </row>
    <row r="25" ht="18" customHeight="1">
      <c r="A25" s="21" t="inlineStr">
        <is>
          <t>RO-021</t>
        </is>
      </c>
      <c r="B25" s="10" t="inlineStr">
        <is>
          <t>01-May-26</t>
        </is>
      </c>
      <c r="C25" s="34" t="inlineStr">
        <is>
          <t>SKU-021</t>
        </is>
      </c>
      <c r="D25" s="22" t="inlineStr">
        <is>
          <t>Ink Toner - Black (HP)</t>
        </is>
      </c>
      <c r="E25" s="22" t="inlineStr">
        <is>
          <t>PrintMax Corp</t>
        </is>
      </c>
      <c r="F25" s="10" t="n">
        <v>15</v>
      </c>
      <c r="G25" s="11" t="n">
        <v>22</v>
      </c>
      <c r="H25" s="11">
        <f>F25*G25</f>
        <v/>
      </c>
      <c r="I25" s="37" t="inlineStr">
        <is>
          <t>Pending</t>
        </is>
      </c>
      <c r="J25" s="10" t="inlineStr">
        <is>
          <t>08-May-26</t>
        </is>
      </c>
    </row>
    <row r="26" ht="18" customHeight="1">
      <c r="A26" s="26" t="inlineStr">
        <is>
          <t>RO-022</t>
        </is>
      </c>
      <c r="B26" s="16" t="inlineStr">
        <is>
          <t>05-May-26</t>
        </is>
      </c>
      <c r="C26" s="35" t="inlineStr">
        <is>
          <t>SKU-015</t>
        </is>
      </c>
      <c r="D26" s="27" t="inlineStr">
        <is>
          <t>Scissors Small</t>
        </is>
      </c>
      <c r="E26" s="27" t="inlineStr">
        <is>
          <t>TechOffice Supplies</t>
        </is>
      </c>
      <c r="F26" s="16" t="n">
        <v>20</v>
      </c>
      <c r="G26" s="17" t="n">
        <v>2</v>
      </c>
      <c r="H26" s="17">
        <f>F26*G26</f>
        <v/>
      </c>
      <c r="I26" s="37" t="inlineStr">
        <is>
          <t>Pending</t>
        </is>
      </c>
      <c r="J26" s="16" t="inlineStr">
        <is>
          <t>12-May-26</t>
        </is>
      </c>
    </row>
    <row r="27" ht="18" customHeight="1">
      <c r="A27" s="21" t="inlineStr">
        <is>
          <t>RO-023</t>
        </is>
      </c>
      <c r="B27" s="10" t="inlineStr">
        <is>
          <t>08-May-26</t>
        </is>
      </c>
      <c r="C27" s="34" t="inlineStr">
        <is>
          <t>SKU-074</t>
        </is>
      </c>
      <c r="D27" s="22" t="inlineStr">
        <is>
          <t>Ethernet Cable Cat6 5m</t>
        </is>
      </c>
      <c r="E27" s="22" t="inlineStr">
        <is>
          <t>DigiTech Wholesale</t>
        </is>
      </c>
      <c r="F27" s="10" t="n">
        <v>12</v>
      </c>
      <c r="G27" s="11" t="n">
        <v>5.5</v>
      </c>
      <c r="H27" s="11">
        <f>F27*G27</f>
        <v/>
      </c>
      <c r="I27" s="37" t="inlineStr">
        <is>
          <t>Pending</t>
        </is>
      </c>
      <c r="J27" s="10" t="inlineStr">
        <is>
          <t>15-May-26</t>
        </is>
      </c>
    </row>
    <row r="28" ht="18" customHeight="1">
      <c r="A28" s="26" t="inlineStr">
        <is>
          <t>RO-024</t>
        </is>
      </c>
      <c r="B28" s="16" t="inlineStr">
        <is>
          <t>10-May-26</t>
        </is>
      </c>
      <c r="C28" s="35" t="inlineStr">
        <is>
          <t>SKU-078</t>
        </is>
      </c>
      <c r="D28" s="27" t="inlineStr">
        <is>
          <t>Wireless Mouse</t>
        </is>
      </c>
      <c r="E28" s="27" t="inlineStr">
        <is>
          <t>DigiTech Wholesale</t>
        </is>
      </c>
      <c r="F28" s="16" t="n">
        <v>8</v>
      </c>
      <c r="G28" s="17" t="n">
        <v>15</v>
      </c>
      <c r="H28" s="17">
        <f>F28*G28</f>
        <v/>
      </c>
      <c r="I28" s="37" t="inlineStr">
        <is>
          <t>Pending</t>
        </is>
      </c>
      <c r="J28" s="16" t="inlineStr">
        <is>
          <t>17-May-26</t>
        </is>
      </c>
    </row>
    <row r="29" ht="18" customHeight="1">
      <c r="A29" s="21" t="inlineStr">
        <is>
          <t>RO-025</t>
        </is>
      </c>
      <c r="B29" s="10" t="inlineStr">
        <is>
          <t>12-May-26</t>
        </is>
      </c>
      <c r="C29" s="34" t="inlineStr">
        <is>
          <t>SKU-073</t>
        </is>
      </c>
      <c r="D29" s="22" t="inlineStr">
        <is>
          <t>Ethernet Cable Cat6 2m</t>
        </is>
      </c>
      <c r="E29" s="22" t="inlineStr">
        <is>
          <t>DigiTech Wholesale</t>
        </is>
      </c>
      <c r="F29" s="10" t="n">
        <v>15</v>
      </c>
      <c r="G29" s="11" t="n">
        <v>3.5</v>
      </c>
      <c r="H29" s="11">
        <f>F29*G29</f>
        <v/>
      </c>
      <c r="I29" s="37" t="inlineStr">
        <is>
          <t>Pending</t>
        </is>
      </c>
      <c r="J29" s="10" t="inlineStr">
        <is>
          <t>19-May-26</t>
        </is>
      </c>
    </row>
    <row r="30" ht="22" customHeight="1">
      <c r="A30" s="8" t="inlineStr"/>
      <c r="B30" s="8" t="inlineStr"/>
      <c r="C30" s="8" t="inlineStr"/>
      <c r="D30" s="38" t="inlineStr">
        <is>
          <t>TOTAL SPENT</t>
        </is>
      </c>
      <c r="E30" s="8" t="inlineStr"/>
      <c r="F30" s="8" t="inlineStr"/>
      <c r="G30" s="8" t="inlineStr"/>
      <c r="H30" s="39">
        <f>SUM(H5:H29)</f>
        <v/>
      </c>
      <c r="I30" s="8" t="inlineStr"/>
      <c r="J30" s="8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2026-05-12T14:06:08Z</dcterms:created>
  <dcterms:modified xmlns:dcterms="http://purl.org/dc/terms/" xmlns:xsi="http://www.w3.org/2001/XMLSchema-instance" xsi:type="dcterms:W3CDTF">2026-05-12T14:06:08Z</dcterms:modified>
</cp:coreProperties>
</file>