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Product Deep Dive" sheetId="4" state="visible" r:id="rId4"/>
    <sheet xmlns:r="http://schemas.openxmlformats.org/officeDocument/2006/relationships" name="⚙️ Setting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0.0%"/>
    <numFmt numFmtId="166" formatCode="\+0.0%;\-0.0%"/>
    <numFmt numFmtId="167" formatCode="\$#,##0.00"/>
    <numFmt numFmtId="168" formatCode="0.0\x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00008B"/>
      <sz val="10"/>
    </font>
    <font>
      <name val="Arial"/>
      <i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CD7F32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DEEAF1"/>
      </patternFill>
    </fill>
    <fill>
      <patternFill patternType="solid">
        <fgColor rgb="FFBDD7EE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BFBFBF"/>
      </patternFill>
    </fill>
    <fill>
      <patternFill patternType="solid">
        <fgColor rgb="FFCD7F32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002E5FA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164" fontId="0" fillId="9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164" fontId="0" fillId="11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7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167" fontId="0" fillId="11" borderId="1" applyAlignment="1" pivotButton="0" quotePrefix="0" xfId="0">
      <alignment horizontal="right" vertical="center"/>
    </xf>
    <xf numFmtId="165" fontId="0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49" fontId="10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49" fontId="10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0" fontId="11" fillId="1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9" fontId="1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9" fontId="10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165" fontId="9" fillId="11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right" vertical="center"/>
    </xf>
    <xf numFmtId="3" fontId="9" fillId="1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3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9" fontId="14" fillId="15" borderId="1" applyAlignment="1" pivotButton="0" quotePrefix="0" xfId="0">
      <alignment horizontal="right" vertical="center"/>
    </xf>
    <xf numFmtId="164" fontId="14" fillId="15" borderId="1" applyAlignment="1" pivotButton="0" quotePrefix="0" xfId="0">
      <alignment horizontal="right" vertical="center"/>
    </xf>
    <xf numFmtId="168" fontId="14" fillId="15" borderId="1" applyAlignment="1" pivotButton="0" quotePrefix="0" xfId="0">
      <alignment horizontal="right" vertical="center"/>
    </xf>
    <xf numFmtId="3" fontId="14" fillId="1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164" fontId="0" fillId="9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164" fontId="0" fillId="11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3" fontId="10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right" vertical="center"/>
    </xf>
    <xf numFmtId="167" fontId="0" fillId="9" borderId="1" applyAlignment="1" pivotButton="0" quotePrefix="0" xfId="0">
      <alignment horizontal="right" vertical="center"/>
    </xf>
    <xf numFmtId="165" fontId="0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3" fontId="10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5" fontId="10" fillId="11" borderId="1" applyAlignment="1" pivotButton="0" quotePrefix="0" xfId="0">
      <alignment horizontal="right" vertical="center"/>
    </xf>
    <xf numFmtId="167" fontId="0" fillId="11" borderId="1" applyAlignment="1" pivotButton="0" quotePrefix="0" xfId="0">
      <alignment horizontal="right" vertical="center"/>
    </xf>
    <xf numFmtId="165" fontId="0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49" fontId="10" fillId="9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49" fontId="10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166" fontId="10" fillId="11" borderId="1" applyAlignment="1" pivotButton="0" quotePrefix="0" xfId="0">
      <alignment horizontal="right" vertical="center"/>
    </xf>
    <xf numFmtId="0" fontId="11" fillId="1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9" fontId="10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9" fontId="10" fillId="11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165" fontId="9" fillId="11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right" vertical="center"/>
    </xf>
    <xf numFmtId="3" fontId="9" fillId="1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general" vertical="bottom"/>
    </xf>
    <xf numFmtId="3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9" fontId="14" fillId="15" borderId="1" applyAlignment="1" pivotButton="0" quotePrefix="0" xfId="0">
      <alignment horizontal="right" vertical="center"/>
    </xf>
    <xf numFmtId="164" fontId="14" fillId="15" borderId="1" applyAlignment="1" pivotButton="0" quotePrefix="0" xfId="0">
      <alignment horizontal="right" vertical="center"/>
    </xf>
    <xf numFmtId="168" fontId="14" fillId="15" borderId="1" applyAlignment="1" pivotButton="0" quotePrefix="0" xfId="0">
      <alignment horizontal="right" vertical="center"/>
    </xf>
    <xf numFmtId="3" fontId="14" fillId="15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BF3FB"/>
      <rgbColor rgb="FF660066"/>
      <rgbColor rgb="FFCD7F32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BFBFB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8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76" min="1" max="1"/>
    <col width="14" customWidth="1" style="76" min="2" max="14"/>
    <col width="12" customWidth="1" style="76" min="15" max="19"/>
  </cols>
  <sheetData>
    <row r="1" ht="30" customHeight="1" s="77">
      <c r="A1" s="78" t="inlineStr">
        <is>
          <t>SALES PERFORMANCE TRACKER  |  FY 2026</t>
        </is>
      </c>
    </row>
    <row r="2" ht="18" customHeight="1" s="77"/>
    <row r="3" ht="18" customHeight="1" s="77">
      <c r="A3" s="79" t="inlineStr">
        <is>
          <t>Farhan Siddique | Virtual Assistant &amp; Data Specialist | May 2026</t>
        </is>
      </c>
    </row>
    <row r="4">
      <c r="A4" s="80" t="inlineStr">
        <is>
          <t>Executive Summary  |  All figures in USD  |  Data auto-updates from 'Data' sheet</t>
        </is>
      </c>
    </row>
    <row r="5" ht="13.5" customHeight="1" s="77"/>
    <row r="6" ht="30" customHeight="1" s="77">
      <c r="B6" s="81" t="inlineStr">
        <is>
          <t>Total Revenue</t>
        </is>
      </c>
      <c r="D6" s="82" t="inlineStr">
        <is>
          <t>Units Sold</t>
        </is>
      </c>
      <c r="F6" s="83" t="inlineStr">
        <is>
          <t>Avg Deal Size</t>
        </is>
      </c>
      <c r="H6" s="84" t="inlineStr">
        <is>
          <t>Target Achievement</t>
        </is>
      </c>
      <c r="J6" s="85" t="inlineStr">
        <is>
          <t>YoY Growth</t>
        </is>
      </c>
      <c r="L6" s="81" t="inlineStr">
        <is>
          <t>Active Reps</t>
        </is>
      </c>
      <c r="N6" s="82" t="inlineStr">
        <is>
          <t>Win Rate</t>
        </is>
      </c>
      <c r="P6" s="83" t="inlineStr">
        <is>
          <t>Avg Sales Cycle (days)</t>
        </is>
      </c>
    </row>
    <row r="7" ht="18" customHeight="1" s="77">
      <c r="B7" s="86">
        <f>SUM(Data!H2:H501)</f>
        <v/>
      </c>
      <c r="D7" s="87">
        <f>SUM(Data!G2:G501)</f>
        <v/>
      </c>
      <c r="F7" s="88">
        <f>IFERROR(SUM(Data!H2:H501)/COUNTIF(Data!H2:H501,"&gt;0"),0)</f>
        <v/>
      </c>
      <c r="H7" s="89">
        <f>IFERROR(SUM(Data!H2:H501)/SUM(Data!I2:I501),0)</f>
        <v/>
      </c>
      <c r="J7" s="90">
        <f>IFERROR((SUM(Data!H2:H501)-SUM(Data!J2:J501))/SUM(Data!J2:J501),0)</f>
        <v/>
      </c>
      <c r="L7" s="91">
        <f>COUNTA(Data!C2:C501)-SUMPRODUCT((1/COUNTIF(Data!C2:C501,Data!C2:C501)))-1+1</f>
        <v/>
      </c>
      <c r="N7" s="92">
        <f>IFERROR(COUNTIF(Data!K2:K501,"Won")/COUNTIF(Data!K2:K501,"&lt;&gt;"),0)</f>
        <v/>
      </c>
      <c r="P7" s="93">
        <f>IFERROR(AVERAGE(Data!L2:L501),0)</f>
        <v/>
      </c>
    </row>
    <row r="8">
      <c r="B8" s="94" t="n"/>
      <c r="D8" s="95" t="n"/>
      <c r="F8" s="96" t="n"/>
      <c r="H8" s="97" t="n"/>
      <c r="J8" s="98" t="n"/>
      <c r="L8" s="94" t="n"/>
      <c r="N8" s="95" t="n"/>
      <c r="P8" s="96" t="n"/>
    </row>
    <row r="9" ht="19.5" customHeight="1" s="77"/>
    <row r="10" ht="15" customHeight="1" s="77">
      <c r="A10" s="99" t="inlineStr">
        <is>
          <t>MONTHLY REVENUE BY REGION</t>
        </is>
      </c>
    </row>
    <row r="11" ht="15.75" customHeight="1" s="77">
      <c r="A11" s="100" t="inlineStr">
        <is>
          <t>Region</t>
        </is>
      </c>
      <c r="B11" s="100" t="inlineStr">
        <is>
          <t>Jan</t>
        </is>
      </c>
      <c r="C11" s="100" t="inlineStr">
        <is>
          <t>Feb</t>
        </is>
      </c>
      <c r="D11" s="100" t="inlineStr">
        <is>
          <t>Mar</t>
        </is>
      </c>
      <c r="E11" s="100" t="inlineStr">
        <is>
          <t>Apr</t>
        </is>
      </c>
      <c r="F11" s="100" t="inlineStr">
        <is>
          <t>May</t>
        </is>
      </c>
      <c r="G11" s="100" t="inlineStr">
        <is>
          <t>Jun</t>
        </is>
      </c>
      <c r="H11" s="100" t="inlineStr">
        <is>
          <t>Jul</t>
        </is>
      </c>
      <c r="I11" s="100" t="inlineStr">
        <is>
          <t>Aug</t>
        </is>
      </c>
      <c r="J11" s="100" t="inlineStr">
        <is>
          <t>Sep</t>
        </is>
      </c>
      <c r="K11" s="100" t="inlineStr">
        <is>
          <t>Oct</t>
        </is>
      </c>
      <c r="L11" s="100" t="inlineStr">
        <is>
          <t>Nov</t>
        </is>
      </c>
      <c r="M11" s="100" t="inlineStr">
        <is>
          <t>Dec</t>
        </is>
      </c>
      <c r="N11" s="101" t="inlineStr">
        <is>
          <t>Total</t>
        </is>
      </c>
    </row>
    <row r="12" ht="15.75" customHeight="1" s="77">
      <c r="A12" s="102" t="inlineStr">
        <is>
          <t>North</t>
        </is>
      </c>
      <c r="B12" s="103" t="n">
        <v>461666</v>
      </c>
      <c r="C12" s="103" t="n">
        <v>410523</v>
      </c>
      <c r="D12" s="103" t="n">
        <v>417714</v>
      </c>
      <c r="E12" s="103" t="n">
        <v>512940</v>
      </c>
      <c r="F12" s="103" t="n">
        <v>527041</v>
      </c>
      <c r="G12" s="103" t="n">
        <v>516072</v>
      </c>
      <c r="H12" s="103" t="n">
        <v>502263</v>
      </c>
      <c r="I12" s="103" t="n">
        <v>438734</v>
      </c>
      <c r="J12" s="103" t="n">
        <v>426183</v>
      </c>
      <c r="K12" s="103" t="n">
        <v>575978</v>
      </c>
      <c r="L12" s="103" t="n">
        <v>523969</v>
      </c>
      <c r="M12" s="103" t="n">
        <v>575009</v>
      </c>
      <c r="N12" s="104">
        <f>SUM(B11:M11)</f>
        <v/>
      </c>
    </row>
    <row r="13" ht="15.75" customHeight="1" s="77">
      <c r="A13" s="105" t="inlineStr">
        <is>
          <t>South</t>
        </is>
      </c>
      <c r="B13" s="106" t="n">
        <v>293297</v>
      </c>
      <c r="C13" s="106" t="n">
        <v>316349</v>
      </c>
      <c r="D13" s="106" t="n">
        <v>285146</v>
      </c>
      <c r="E13" s="106" t="n">
        <v>374826</v>
      </c>
      <c r="F13" s="106" t="n">
        <v>343546</v>
      </c>
      <c r="G13" s="106" t="n">
        <v>363442</v>
      </c>
      <c r="H13" s="106" t="n">
        <v>360031</v>
      </c>
      <c r="I13" s="106" t="n">
        <v>391367</v>
      </c>
      <c r="J13" s="106" t="n">
        <v>387520</v>
      </c>
      <c r="K13" s="106" t="n">
        <v>317963</v>
      </c>
      <c r="L13" s="106" t="n">
        <v>404414</v>
      </c>
      <c r="M13" s="106" t="n">
        <v>345652</v>
      </c>
      <c r="N13" s="104">
        <f>SUM(B12:M12)</f>
        <v/>
      </c>
    </row>
    <row r="14" ht="15.75" customHeight="1" s="77">
      <c r="A14" s="102" t="inlineStr">
        <is>
          <t>East</t>
        </is>
      </c>
      <c r="B14" s="103" t="n">
        <v>583614</v>
      </c>
      <c r="C14" s="103" t="n">
        <v>525239</v>
      </c>
      <c r="D14" s="103" t="n">
        <v>434342</v>
      </c>
      <c r="E14" s="103" t="n">
        <v>588953</v>
      </c>
      <c r="F14" s="103" t="n">
        <v>506000</v>
      </c>
      <c r="G14" s="103" t="n">
        <v>602212</v>
      </c>
      <c r="H14" s="103" t="n">
        <v>642540</v>
      </c>
      <c r="I14" s="103" t="n">
        <v>496761</v>
      </c>
      <c r="J14" s="103" t="n">
        <v>582716</v>
      </c>
      <c r="K14" s="103" t="n">
        <v>625405</v>
      </c>
      <c r="L14" s="103" t="n">
        <v>664059</v>
      </c>
      <c r="M14" s="103" t="n">
        <v>562373</v>
      </c>
      <c r="N14" s="104">
        <f>SUM(B13:M13)</f>
        <v/>
      </c>
    </row>
    <row r="15" ht="15.75" customHeight="1" s="77">
      <c r="A15" s="105" t="inlineStr">
        <is>
          <t>West</t>
        </is>
      </c>
      <c r="B15" s="106" t="n">
        <v>257593</v>
      </c>
      <c r="C15" s="106" t="n">
        <v>256351</v>
      </c>
      <c r="D15" s="106" t="n">
        <v>279900</v>
      </c>
      <c r="E15" s="106" t="n">
        <v>305990</v>
      </c>
      <c r="F15" s="106" t="n">
        <v>306628</v>
      </c>
      <c r="G15" s="106" t="n">
        <v>268777</v>
      </c>
      <c r="H15" s="106" t="n">
        <v>299427</v>
      </c>
      <c r="I15" s="106" t="n">
        <v>274571</v>
      </c>
      <c r="J15" s="106" t="n">
        <v>344208</v>
      </c>
      <c r="K15" s="106" t="n">
        <v>351891</v>
      </c>
      <c r="L15" s="106" t="n">
        <v>324401</v>
      </c>
      <c r="M15" s="106" t="n">
        <v>335324</v>
      </c>
      <c r="N15" s="104">
        <f>SUM(B14:M14)</f>
        <v/>
      </c>
    </row>
    <row r="16" ht="15.75" customHeight="1" s="77">
      <c r="A16" s="102" t="inlineStr">
        <is>
          <t>Central</t>
        </is>
      </c>
      <c r="B16" s="103" t="n">
        <v>213218</v>
      </c>
      <c r="C16" s="103" t="n">
        <v>217160</v>
      </c>
      <c r="D16" s="103" t="n">
        <v>183979</v>
      </c>
      <c r="E16" s="103" t="n">
        <v>213710</v>
      </c>
      <c r="F16" s="103" t="n">
        <v>182281</v>
      </c>
      <c r="G16" s="103" t="n">
        <v>229148</v>
      </c>
      <c r="H16" s="103" t="n">
        <v>228431</v>
      </c>
      <c r="I16" s="103" t="n">
        <v>224470</v>
      </c>
      <c r="J16" s="103" t="n">
        <v>194057</v>
      </c>
      <c r="K16" s="103" t="n">
        <v>190624</v>
      </c>
      <c r="L16" s="103" t="n">
        <v>244934</v>
      </c>
      <c r="M16" s="103" t="n">
        <v>239364</v>
      </c>
      <c r="N16" s="104">
        <f>SUM(B15:M15)</f>
        <v/>
      </c>
    </row>
    <row r="17" ht="18" customHeight="1" s="77">
      <c r="A17" s="105" t="inlineStr">
        <is>
          <t>International</t>
        </is>
      </c>
      <c r="B17" s="106" t="n">
        <v>374806</v>
      </c>
      <c r="C17" s="106" t="n">
        <v>429415</v>
      </c>
      <c r="D17" s="106" t="n">
        <v>371845</v>
      </c>
      <c r="E17" s="106" t="n">
        <v>379778</v>
      </c>
      <c r="F17" s="106" t="n">
        <v>344595</v>
      </c>
      <c r="G17" s="106" t="n">
        <v>431431</v>
      </c>
      <c r="H17" s="106" t="n">
        <v>419492</v>
      </c>
      <c r="I17" s="106" t="n">
        <v>384408</v>
      </c>
      <c r="J17" s="106" t="n">
        <v>379163</v>
      </c>
      <c r="K17" s="106" t="n">
        <v>476081</v>
      </c>
      <c r="L17" s="106" t="n">
        <v>415381</v>
      </c>
      <c r="M17" s="106" t="n">
        <v>422674</v>
      </c>
      <c r="N17" s="104">
        <f>SUM(B16:M16)</f>
        <v/>
      </c>
    </row>
    <row r="18">
      <c r="A18" s="101" t="inlineStr">
        <is>
          <t>TOTAL</t>
        </is>
      </c>
      <c r="B18" s="107">
        <f>SUM(B11:B16)</f>
        <v/>
      </c>
      <c r="C18" s="107">
        <f>SUM(C11:C16)</f>
        <v/>
      </c>
      <c r="D18" s="107">
        <f>SUM(D11:D16)</f>
        <v/>
      </c>
      <c r="E18" s="107">
        <f>SUM(E11:E16)</f>
        <v/>
      </c>
      <c r="F18" s="107">
        <f>SUM(F11:F16)</f>
        <v/>
      </c>
      <c r="G18" s="107">
        <f>SUM(G11:G16)</f>
        <v/>
      </c>
      <c r="H18" s="107">
        <f>SUM(H11:H16)</f>
        <v/>
      </c>
      <c r="I18" s="107">
        <f>SUM(I11:I16)</f>
        <v/>
      </c>
      <c r="J18" s="107">
        <f>SUM(J11:J16)</f>
        <v/>
      </c>
      <c r="K18" s="107">
        <f>SUM(K11:K16)</f>
        <v/>
      </c>
      <c r="L18" s="107">
        <f>SUM(L11:L16)</f>
        <v/>
      </c>
      <c r="M18" s="107">
        <f>SUM(M11:M16)</f>
        <v/>
      </c>
      <c r="N18" s="107">
        <f>SUM(B17:M17)</f>
        <v/>
      </c>
    </row>
    <row r="19" ht="19.5" customHeight="1" s="77"/>
    <row r="20" ht="15" customHeight="1" s="77">
      <c r="A20" s="99" t="inlineStr">
        <is>
          <t>PRODUCT PERFORMANCE SUMMARY</t>
        </is>
      </c>
    </row>
    <row r="21" ht="15.75" customHeight="1" s="77">
      <c r="A21" s="100" t="inlineStr">
        <is>
          <t>Product</t>
        </is>
      </c>
      <c r="B21" s="100" t="inlineStr">
        <is>
          <t>Units Sold</t>
        </is>
      </c>
      <c r="C21" s="100" t="inlineStr">
        <is>
          <t>Revenue</t>
        </is>
      </c>
      <c r="D21" s="100" t="inlineStr">
        <is>
          <t>Target</t>
        </is>
      </c>
      <c r="E21" s="100" t="inlineStr">
        <is>
          <t>Achievement</t>
        </is>
      </c>
      <c r="F21" s="100" t="inlineStr">
        <is>
          <t>Avg Price</t>
        </is>
      </c>
      <c r="G21" s="100" t="inlineStr">
        <is>
          <t>Margin%</t>
        </is>
      </c>
      <c r="H21" s="100" t="inlineStr">
        <is>
          <t>Rank</t>
        </is>
      </c>
      <c r="I21" s="100" t="inlineStr">
        <is>
          <t>QoQ Growth</t>
        </is>
      </c>
      <c r="J21" s="100" t="inlineStr">
        <is>
          <t>Status</t>
        </is>
      </c>
    </row>
    <row r="22" ht="15.75" customHeight="1" s="77">
      <c r="A22" s="108" t="inlineStr">
        <is>
          <t>Product A</t>
        </is>
      </c>
      <c r="B22" s="109" t="n">
        <v>1850</v>
      </c>
      <c r="C22" s="110" t="n">
        <v>925000</v>
      </c>
      <c r="D22" s="110" t="n">
        <v>900000</v>
      </c>
      <c r="E22" s="111">
        <f>C21/D21</f>
        <v/>
      </c>
      <c r="F22" s="112">
        <f>IFERROR(C21/B21,0)</f>
        <v/>
      </c>
      <c r="G22" s="113" t="n">
        <v>0.33</v>
      </c>
      <c r="H22" s="114">
        <f>RANK(C21,C21:C30,0)</f>
        <v/>
      </c>
      <c r="I22" s="115" t="n">
        <v>0.0206025653981575</v>
      </c>
      <c r="J22" s="116">
        <f>IF(E21&gt;=1,"✅ On Track",IF(E21&gt;=0.85,"⚠️ At Risk","❌ Behind"))</f>
        <v/>
      </c>
    </row>
    <row r="23" ht="15.75" customHeight="1" s="77">
      <c r="A23" s="117" t="inlineStr">
        <is>
          <t>Product B</t>
        </is>
      </c>
      <c r="B23" s="118" t="n">
        <v>1420</v>
      </c>
      <c r="C23" s="119" t="n">
        <v>710000</v>
      </c>
      <c r="D23" s="119" t="n">
        <v>750000</v>
      </c>
      <c r="E23" s="120">
        <f>C22/D22</f>
        <v/>
      </c>
      <c r="F23" s="121">
        <f>IFERROR(C22/B22,0)</f>
        <v/>
      </c>
      <c r="G23" s="122" t="n">
        <v>0.26</v>
      </c>
      <c r="H23" s="123">
        <f>RANK(C22,C21:C30,0)</f>
        <v/>
      </c>
      <c r="I23" s="124" t="n">
        <v>0.0944119461181237</v>
      </c>
      <c r="J23" s="125">
        <f>IF(E22&gt;=1,"✅ On Track",IF(E22&gt;=0.85,"⚠️ At Risk","❌ Behind"))</f>
        <v/>
      </c>
    </row>
    <row r="24" ht="15.75" customHeight="1" s="77">
      <c r="A24" s="108" t="inlineStr">
        <is>
          <t>Product C</t>
        </is>
      </c>
      <c r="B24" s="109" t="n">
        <v>2100</v>
      </c>
      <c r="C24" s="110" t="n">
        <v>1050000</v>
      </c>
      <c r="D24" s="110" t="n">
        <v>1000000</v>
      </c>
      <c r="E24" s="111">
        <f>C23/D23</f>
        <v/>
      </c>
      <c r="F24" s="112">
        <f>IFERROR(C23/B23,0)</f>
        <v/>
      </c>
      <c r="G24" s="113" t="n">
        <v>0.38</v>
      </c>
      <c r="H24" s="114">
        <f>RANK(C23,C21:C30,0)</f>
        <v/>
      </c>
      <c r="I24" s="115" t="n">
        <v>-0.009743621422944149</v>
      </c>
      <c r="J24" s="116">
        <f>IF(E23&gt;=1,"✅ On Track",IF(E23&gt;=0.85,"⚠️ At Risk","❌ Behind"))</f>
        <v/>
      </c>
    </row>
    <row r="25" ht="15.75" customHeight="1" s="77">
      <c r="A25" s="117" t="inlineStr">
        <is>
          <t>Product D</t>
        </is>
      </c>
      <c r="B25" s="118" t="n">
        <v>980</v>
      </c>
      <c r="C25" s="119" t="n">
        <v>490000</v>
      </c>
      <c r="D25" s="119" t="n">
        <v>500000</v>
      </c>
      <c r="E25" s="120">
        <f>C24/D24</f>
        <v/>
      </c>
      <c r="F25" s="121">
        <f>IFERROR(C24/B24,0)</f>
        <v/>
      </c>
      <c r="G25" s="122" t="n">
        <v>0.18</v>
      </c>
      <c r="H25" s="123">
        <f>RANK(C24,C21:C30,0)</f>
        <v/>
      </c>
      <c r="I25" s="124" t="n">
        <v>0.0168482863067738</v>
      </c>
      <c r="J25" s="125">
        <f>IF(E24&gt;=1,"✅ On Track",IF(E24&gt;=0.85,"⚠️ At Risk","❌ Behind"))</f>
        <v/>
      </c>
    </row>
    <row r="26" ht="15.75" customHeight="1" s="77">
      <c r="A26" s="108" t="inlineStr">
        <is>
          <t>Product E</t>
        </is>
      </c>
      <c r="B26" s="109" t="n">
        <v>1670</v>
      </c>
      <c r="C26" s="110" t="n">
        <v>835000</v>
      </c>
      <c r="D26" s="110" t="n">
        <v>800000</v>
      </c>
      <c r="E26" s="111">
        <f>C25/D25</f>
        <v/>
      </c>
      <c r="F26" s="112">
        <f>IFERROR(C25/B25,0)</f>
        <v/>
      </c>
      <c r="G26" s="113" t="n">
        <v>0.31</v>
      </c>
      <c r="H26" s="114">
        <f>RANK(C25,C21:C30,0)</f>
        <v/>
      </c>
      <c r="I26" s="115" t="n">
        <v>0.0427364726511609</v>
      </c>
      <c r="J26" s="116">
        <f>IF(E25&gt;=1,"✅ On Track",IF(E25&gt;=0.85,"⚠️ At Risk","❌ Behind"))</f>
        <v/>
      </c>
    </row>
    <row r="27" ht="15.75" customHeight="1" s="77">
      <c r="A27" s="117" t="inlineStr">
        <is>
          <t>Product F</t>
        </is>
      </c>
      <c r="B27" s="118" t="n">
        <v>760</v>
      </c>
      <c r="C27" s="119" t="n">
        <v>380000</v>
      </c>
      <c r="D27" s="119" t="n">
        <v>400000</v>
      </c>
      <c r="E27" s="120">
        <f>C26/D26</f>
        <v/>
      </c>
      <c r="F27" s="121">
        <f>IFERROR(C26/B26,0)</f>
        <v/>
      </c>
      <c r="G27" s="122" t="n">
        <v>0.14</v>
      </c>
      <c r="H27" s="123">
        <f>RANK(C26,C21:C30,0)</f>
        <v/>
      </c>
      <c r="I27" s="124" t="n">
        <v>0.0602878172537374</v>
      </c>
      <c r="J27" s="125">
        <f>IF(E26&gt;=1,"✅ On Track",IF(E26&gt;=0.85,"⚠️ At Risk","❌ Behind"))</f>
        <v/>
      </c>
    </row>
    <row r="28" ht="15.75" customHeight="1" s="77">
      <c r="A28" s="108" t="inlineStr">
        <is>
          <t>Product G</t>
        </is>
      </c>
      <c r="B28" s="109" t="n">
        <v>2350</v>
      </c>
      <c r="C28" s="110" t="n">
        <v>1175000</v>
      </c>
      <c r="D28" s="110" t="n">
        <v>1100000</v>
      </c>
      <c r="E28" s="111">
        <f>C27/D27</f>
        <v/>
      </c>
      <c r="F28" s="112">
        <f>IFERROR(C27/B27,0)</f>
        <v/>
      </c>
      <c r="G28" s="113" t="n">
        <v>0.43</v>
      </c>
      <c r="H28" s="114">
        <f>RANK(C27,C21:C30,0)</f>
        <v/>
      </c>
      <c r="I28" s="115" t="n">
        <v>0.10879576805173</v>
      </c>
      <c r="J28" s="116">
        <f>IF(E27&gt;=1,"✅ On Track",IF(E27&gt;=0.85,"⚠️ At Risk","❌ Behind"))</f>
        <v/>
      </c>
    </row>
    <row r="29" ht="15.75" customHeight="1" s="77">
      <c r="A29" s="117" t="inlineStr">
        <is>
          <t>Product H</t>
        </is>
      </c>
      <c r="B29" s="118" t="n">
        <v>590</v>
      </c>
      <c r="C29" s="119" t="n">
        <v>295000</v>
      </c>
      <c r="D29" s="119" t="n">
        <v>300000</v>
      </c>
      <c r="E29" s="120">
        <f>C28/D28</f>
        <v/>
      </c>
      <c r="F29" s="121">
        <f>IFERROR(C28/B28,0)</f>
        <v/>
      </c>
      <c r="G29" s="122" t="n">
        <v>0.11</v>
      </c>
      <c r="H29" s="123">
        <f>RANK(C28,C21:C30,0)</f>
        <v/>
      </c>
      <c r="I29" s="124" t="n">
        <v>0.07310136016261411</v>
      </c>
      <c r="J29" s="125">
        <f>IF(E28&gt;=1,"✅ On Track",IF(E28&gt;=0.85,"⚠️ At Risk","❌ Behind"))</f>
        <v/>
      </c>
    </row>
    <row r="30" ht="15.75" customHeight="1" s="77">
      <c r="A30" s="108" t="inlineStr">
        <is>
          <t>Product I</t>
        </is>
      </c>
      <c r="B30" s="109" t="n">
        <v>1120</v>
      </c>
      <c r="C30" s="110" t="n">
        <v>560000</v>
      </c>
      <c r="D30" s="110" t="n">
        <v>550000</v>
      </c>
      <c r="E30" s="111">
        <f>C29/D29</f>
        <v/>
      </c>
      <c r="F30" s="112">
        <f>IFERROR(C29/B29,0)</f>
        <v/>
      </c>
      <c r="G30" s="113" t="n">
        <v>0.2</v>
      </c>
      <c r="H30" s="114">
        <f>RANK(C29,C21:C30,0)</f>
        <v/>
      </c>
      <c r="I30" s="115" t="n">
        <v>0.08675825190992451</v>
      </c>
      <c r="J30" s="116">
        <f>IF(E29&gt;=1,"✅ On Track",IF(E29&gt;=0.85,"⚠️ At Risk","❌ Behind"))</f>
        <v/>
      </c>
    </row>
    <row r="31">
      <c r="A31" s="117" t="inlineStr">
        <is>
          <t>Product J</t>
        </is>
      </c>
      <c r="B31" s="118" t="n">
        <v>1380</v>
      </c>
      <c r="C31" s="119" t="n">
        <v>690000</v>
      </c>
      <c r="D31" s="119" t="n">
        <v>700000</v>
      </c>
      <c r="E31" s="120">
        <f>C30/D30</f>
        <v/>
      </c>
      <c r="F31" s="121">
        <f>IFERROR(C30/B30,0)</f>
        <v/>
      </c>
      <c r="G31" s="122" t="n">
        <v>0.25</v>
      </c>
      <c r="H31" s="123">
        <f>RANK(C30,C21:C30,0)</f>
        <v/>
      </c>
      <c r="I31" s="124" t="n">
        <v>0.06591248909956569</v>
      </c>
      <c r="J31" s="125">
        <f>IF(E30&gt;=1,"✅ On Track",IF(E30&gt;=0.85,"⚠️ At Risk","❌ Behind"))</f>
        <v/>
      </c>
    </row>
    <row r="33" ht="15" customHeight="1" s="77"/>
    <row r="34" ht="15" customHeight="1" s="77">
      <c r="A34" s="99" t="inlineStr">
        <is>
          <t>TOP SALES REP LEADERBOARD</t>
        </is>
      </c>
    </row>
    <row r="35" ht="15.75" customHeight="1" s="77">
      <c r="A35" s="100" t="inlineStr">
        <is>
          <t>Rank</t>
        </is>
      </c>
      <c r="B35" s="100" t="inlineStr">
        <is>
          <t>Rep Name</t>
        </is>
      </c>
      <c r="C35" s="100" t="inlineStr">
        <is>
          <t>Region</t>
        </is>
      </c>
      <c r="D35" s="100" t="inlineStr">
        <is>
          <t>Q1 Rev</t>
        </is>
      </c>
      <c r="E35" s="100" t="inlineStr">
        <is>
          <t>Q2 Rev</t>
        </is>
      </c>
      <c r="F35" s="100" t="inlineStr">
        <is>
          <t>Q3 Rev</t>
        </is>
      </c>
      <c r="G35" s="100" t="inlineStr">
        <is>
          <t>Q4 Rev</t>
        </is>
      </c>
      <c r="H35" s="100" t="inlineStr">
        <is>
          <t>Total</t>
        </is>
      </c>
      <c r="I35" s="100" t="inlineStr">
        <is>
          <t>vs Quota</t>
        </is>
      </c>
    </row>
    <row r="36" ht="15.75" customHeight="1" s="77">
      <c r="A36" s="126" t="n">
        <v>1</v>
      </c>
      <c r="B36" s="127" t="inlineStr">
        <is>
          <t>Sarah Johnson</t>
        </is>
      </c>
      <c r="C36" s="127" t="inlineStr">
        <is>
          <t>North</t>
        </is>
      </c>
      <c r="D36" s="110" t="n">
        <v>210000</v>
      </c>
      <c r="E36" s="110" t="n">
        <v>235000</v>
      </c>
      <c r="F36" s="110" t="n">
        <v>198000</v>
      </c>
      <c r="G36" s="110" t="n">
        <v>252000</v>
      </c>
      <c r="H36" s="128" t="n">
        <v>900000</v>
      </c>
      <c r="I36" s="129">
        <f>IFERROR((H35-850000)/850000,0)</f>
        <v/>
      </c>
    </row>
    <row r="37" ht="15.75" customHeight="1" s="77">
      <c r="A37" s="130" t="n">
        <v>2</v>
      </c>
      <c r="B37" s="131" t="inlineStr">
        <is>
          <t>Mike Chen</t>
        </is>
      </c>
      <c r="C37" s="131" t="inlineStr">
        <is>
          <t>West</t>
        </is>
      </c>
      <c r="D37" s="119" t="n">
        <v>195000</v>
      </c>
      <c r="E37" s="119" t="n">
        <v>220000</v>
      </c>
      <c r="F37" s="119" t="n">
        <v>215000</v>
      </c>
      <c r="G37" s="119" t="n">
        <v>240000</v>
      </c>
      <c r="H37" s="132" t="n">
        <v>870000</v>
      </c>
      <c r="I37" s="133">
        <f>IFERROR((H36-820000)/820000,0)</f>
        <v/>
      </c>
    </row>
    <row r="38" ht="15.75" customHeight="1" s="77">
      <c r="A38" s="134" t="n">
        <v>3</v>
      </c>
      <c r="B38" s="127" t="inlineStr">
        <is>
          <t>Priya Sharma</t>
        </is>
      </c>
      <c r="C38" s="127" t="inlineStr">
        <is>
          <t>East</t>
        </is>
      </c>
      <c r="D38" s="110" t="n">
        <v>185000</v>
      </c>
      <c r="E38" s="110" t="n">
        <v>198000</v>
      </c>
      <c r="F38" s="110" t="n">
        <v>210000</v>
      </c>
      <c r="G38" s="110" t="n">
        <v>228000</v>
      </c>
      <c r="H38" s="128" t="n">
        <v>821000</v>
      </c>
      <c r="I38" s="129">
        <f>IFERROR((H37-780000)/780000,0)</f>
        <v/>
      </c>
    </row>
    <row r="39" ht="15.75" customHeight="1" s="77">
      <c r="A39" s="135" t="n">
        <v>4</v>
      </c>
      <c r="B39" s="131" t="inlineStr">
        <is>
          <t>James Williams</t>
        </is>
      </c>
      <c r="C39" s="131" t="inlineStr">
        <is>
          <t>South</t>
        </is>
      </c>
      <c r="D39" s="119" t="n">
        <v>175000</v>
      </c>
      <c r="E39" s="119" t="n">
        <v>190000</v>
      </c>
      <c r="F39" s="119" t="n">
        <v>200000</v>
      </c>
      <c r="G39" s="119" t="n">
        <v>220000</v>
      </c>
      <c r="H39" s="132" t="n">
        <v>785000</v>
      </c>
      <c r="I39" s="133">
        <f>IFERROR((H38-740000)/740000,0)</f>
        <v/>
      </c>
    </row>
    <row r="40" ht="15.75" customHeight="1" s="77">
      <c r="A40" s="136" t="n">
        <v>5</v>
      </c>
      <c r="B40" s="127" t="inlineStr">
        <is>
          <t>Emily Davis</t>
        </is>
      </c>
      <c r="C40" s="127" t="inlineStr">
        <is>
          <t>Central</t>
        </is>
      </c>
      <c r="D40" s="110" t="n">
        <v>165000</v>
      </c>
      <c r="E40" s="110" t="n">
        <v>180000</v>
      </c>
      <c r="F40" s="110" t="n">
        <v>195000</v>
      </c>
      <c r="G40" s="110" t="n">
        <v>210000</v>
      </c>
      <c r="H40" s="128" t="n">
        <v>750000</v>
      </c>
      <c r="I40" s="129">
        <f>IFERROR((H39-700000)/700000,0)</f>
        <v/>
      </c>
    </row>
    <row r="41" ht="15.75" customHeight="1" s="77">
      <c r="A41" s="135" t="n">
        <v>6</v>
      </c>
      <c r="B41" s="131" t="inlineStr">
        <is>
          <t>Carlos Ruiz</t>
        </is>
      </c>
      <c r="C41" s="131" t="inlineStr">
        <is>
          <t>International</t>
        </is>
      </c>
      <c r="D41" s="119" t="n">
        <v>160000</v>
      </c>
      <c r="E41" s="119" t="n">
        <v>175000</v>
      </c>
      <c r="F41" s="119" t="n">
        <v>188000</v>
      </c>
      <c r="G41" s="119" t="n">
        <v>202000</v>
      </c>
      <c r="H41" s="132" t="n">
        <v>725000</v>
      </c>
      <c r="I41" s="133">
        <f>IFERROR((H40-680000)/680000,0)</f>
        <v/>
      </c>
    </row>
    <row r="42" ht="15.75" customHeight="1" s="77">
      <c r="A42" s="136" t="n">
        <v>7</v>
      </c>
      <c r="B42" s="127" t="inlineStr">
        <is>
          <t>Lisa Park</t>
        </is>
      </c>
      <c r="C42" s="127" t="inlineStr">
        <is>
          <t>North</t>
        </is>
      </c>
      <c r="D42" s="110" t="n">
        <v>150000</v>
      </c>
      <c r="E42" s="110" t="n">
        <v>168000</v>
      </c>
      <c r="F42" s="110" t="n">
        <v>180000</v>
      </c>
      <c r="G42" s="110" t="n">
        <v>195000</v>
      </c>
      <c r="H42" s="128" t="n">
        <v>693000</v>
      </c>
      <c r="I42" s="129">
        <f>IFERROR((H41-650000)/650000,0)</f>
        <v/>
      </c>
    </row>
    <row r="43" ht="15.75" customHeight="1" s="77">
      <c r="A43" s="135" t="n">
        <v>8</v>
      </c>
      <c r="B43" s="131" t="inlineStr">
        <is>
          <t>Tom Brown</t>
        </is>
      </c>
      <c r="C43" s="131" t="inlineStr">
        <is>
          <t>West</t>
        </is>
      </c>
      <c r="D43" s="119" t="n">
        <v>142000</v>
      </c>
      <c r="E43" s="119" t="n">
        <v>158000</v>
      </c>
      <c r="F43" s="119" t="n">
        <v>172000</v>
      </c>
      <c r="G43" s="119" t="n">
        <v>188000</v>
      </c>
      <c r="H43" s="132" t="n">
        <v>660000</v>
      </c>
      <c r="I43" s="133">
        <f>IFERROR((H42-620000)/620000,0)</f>
        <v/>
      </c>
    </row>
    <row r="44" ht="15.75" customHeight="1" s="77">
      <c r="A44" s="136" t="n">
        <v>9</v>
      </c>
      <c r="B44" s="127" t="inlineStr">
        <is>
          <t>Anna Schmidt</t>
        </is>
      </c>
      <c r="C44" s="127" t="inlineStr">
        <is>
          <t>East</t>
        </is>
      </c>
      <c r="D44" s="110" t="n">
        <v>135000</v>
      </c>
      <c r="E44" s="110" t="n">
        <v>150000</v>
      </c>
      <c r="F44" s="110" t="n">
        <v>165000</v>
      </c>
      <c r="G44" s="110" t="n">
        <v>180000</v>
      </c>
      <c r="H44" s="128" t="n">
        <v>630000</v>
      </c>
      <c r="I44" s="129">
        <f>IFERROR((H43-590000)/590000,0)</f>
        <v/>
      </c>
    </row>
    <row r="45" ht="15.75" customHeight="1" s="77">
      <c r="A45" s="135" t="n">
        <v>10</v>
      </c>
      <c r="B45" s="131" t="inlineStr">
        <is>
          <t>David Kim</t>
        </is>
      </c>
      <c r="C45" s="131" t="inlineStr">
        <is>
          <t>South</t>
        </is>
      </c>
      <c r="D45" s="119" t="n">
        <v>128000</v>
      </c>
      <c r="E45" s="119" t="n">
        <v>142000</v>
      </c>
      <c r="F45" s="119" t="n">
        <v>158000</v>
      </c>
      <c r="G45" s="119" t="n">
        <v>172000</v>
      </c>
      <c r="H45" s="132" t="n">
        <v>600000</v>
      </c>
      <c r="I45" s="133">
        <f>IFERROR((H44-560000)/560000,0)</f>
        <v/>
      </c>
    </row>
    <row r="46" ht="15.75" customHeight="1" s="77">
      <c r="A46" s="136" t="n">
        <v>11</v>
      </c>
      <c r="B46" s="127" t="inlineStr">
        <is>
          <t>Rachel Green</t>
        </is>
      </c>
      <c r="C46" s="127" t="inlineStr">
        <is>
          <t>Central</t>
        </is>
      </c>
      <c r="D46" s="110" t="n">
        <v>120000</v>
      </c>
      <c r="E46" s="110" t="n">
        <v>135000</v>
      </c>
      <c r="F46" s="110" t="n">
        <v>150000</v>
      </c>
      <c r="G46" s="110" t="n">
        <v>165000</v>
      </c>
      <c r="H46" s="128" t="n">
        <v>570000</v>
      </c>
      <c r="I46" s="129">
        <f>IFERROR((H45-530000)/530000,0)</f>
        <v/>
      </c>
    </row>
    <row r="47" ht="15.75" customHeight="1" s="77">
      <c r="A47" s="135" t="n">
        <v>12</v>
      </c>
      <c r="B47" s="131" t="inlineStr">
        <is>
          <t>Mark Thompson</t>
        </is>
      </c>
      <c r="C47" s="131" t="inlineStr">
        <is>
          <t>International</t>
        </is>
      </c>
      <c r="D47" s="119" t="n">
        <v>112000</v>
      </c>
      <c r="E47" s="119" t="n">
        <v>128000</v>
      </c>
      <c r="F47" s="119" t="n">
        <v>142000</v>
      </c>
      <c r="G47" s="119" t="n">
        <v>158000</v>
      </c>
      <c r="H47" s="132" t="n">
        <v>540000</v>
      </c>
      <c r="I47" s="133">
        <f>IFERROR((H46-500000)/500000,0)</f>
        <v/>
      </c>
    </row>
    <row r="48" ht="15.75" customHeight="1" s="77">
      <c r="A48" s="136" t="n">
        <v>13</v>
      </c>
      <c r="B48" s="127" t="inlineStr">
        <is>
          <t>Susan Lee</t>
        </is>
      </c>
      <c r="C48" s="127" t="inlineStr">
        <is>
          <t>North</t>
        </is>
      </c>
      <c r="D48" s="110" t="n">
        <v>105000</v>
      </c>
      <c r="E48" s="110" t="n">
        <v>120000</v>
      </c>
      <c r="F48" s="110" t="n">
        <v>135000</v>
      </c>
      <c r="G48" s="110" t="n">
        <v>150000</v>
      </c>
      <c r="H48" s="128" t="n">
        <v>510000</v>
      </c>
      <c r="I48" s="129">
        <f>IFERROR((H47-470000)/470000,0)</f>
        <v/>
      </c>
    </row>
    <row r="49" ht="15.75" customHeight="1" s="77">
      <c r="A49" s="135" t="n">
        <v>14</v>
      </c>
      <c r="B49" s="131" t="inlineStr">
        <is>
          <t>Kevin Martin</t>
        </is>
      </c>
      <c r="C49" s="131" t="inlineStr">
        <is>
          <t>West</t>
        </is>
      </c>
      <c r="D49" s="119" t="n">
        <v>98000</v>
      </c>
      <c r="E49" s="119" t="n">
        <v>112000</v>
      </c>
      <c r="F49" s="119" t="n">
        <v>128000</v>
      </c>
      <c r="G49" s="119" t="n">
        <v>142000</v>
      </c>
      <c r="H49" s="132" t="n">
        <v>480000</v>
      </c>
      <c r="I49" s="133">
        <f>IFERROR((H48-440000)/440000,0)</f>
        <v/>
      </c>
    </row>
    <row r="50" ht="15.75" customHeight="1" s="77">
      <c r="A50" s="136" t="n">
        <v>15</v>
      </c>
      <c r="B50" s="127" t="inlineStr">
        <is>
          <t>Nina Patel</t>
        </is>
      </c>
      <c r="C50" s="127" t="inlineStr">
        <is>
          <t>East</t>
        </is>
      </c>
      <c r="D50" s="110" t="n">
        <v>90000</v>
      </c>
      <c r="E50" s="110" t="n">
        <v>105000</v>
      </c>
      <c r="F50" s="110" t="n">
        <v>120000</v>
      </c>
      <c r="G50" s="110" t="n">
        <v>135000</v>
      </c>
      <c r="H50" s="128" t="n">
        <v>450000</v>
      </c>
      <c r="I50" s="129">
        <f>IFERROR((H49-420000)/420000,0)</f>
        <v/>
      </c>
    </row>
    <row r="51" ht="15.75" customHeight="1" s="77">
      <c r="A51" s="135" t="n">
        <v>16</v>
      </c>
      <c r="B51" s="131" t="inlineStr">
        <is>
          <t>Chris Wilson</t>
        </is>
      </c>
      <c r="C51" s="131" t="inlineStr">
        <is>
          <t>South</t>
        </is>
      </c>
      <c r="D51" s="119" t="n">
        <v>85000</v>
      </c>
      <c r="E51" s="119" t="n">
        <v>98000</v>
      </c>
      <c r="F51" s="119" t="n">
        <v>112000</v>
      </c>
      <c r="G51" s="119" t="n">
        <v>128000</v>
      </c>
      <c r="H51" s="132" t="n">
        <v>423000</v>
      </c>
      <c r="I51" s="133">
        <f>IFERROR((H50-390000)/390000,0)</f>
        <v/>
      </c>
    </row>
    <row r="52" ht="15.75" customHeight="1" s="77">
      <c r="A52" s="136" t="n">
        <v>17</v>
      </c>
      <c r="B52" s="127" t="inlineStr">
        <is>
          <t>Amanda Foster</t>
        </is>
      </c>
      <c r="C52" s="127" t="inlineStr">
        <is>
          <t>Central</t>
        </is>
      </c>
      <c r="D52" s="110" t="n">
        <v>78000</v>
      </c>
      <c r="E52" s="110" t="n">
        <v>92000</v>
      </c>
      <c r="F52" s="110" t="n">
        <v>106000</v>
      </c>
      <c r="G52" s="110" t="n">
        <v>120000</v>
      </c>
      <c r="H52" s="128" t="n">
        <v>396000</v>
      </c>
      <c r="I52" s="129">
        <f>IFERROR((H51-360000)/360000,0)</f>
        <v/>
      </c>
    </row>
    <row r="53" ht="15.75" customHeight="1" s="77">
      <c r="A53" s="135" t="n">
        <v>18</v>
      </c>
      <c r="B53" s="131" t="inlineStr">
        <is>
          <t>Robert Taylor</t>
        </is>
      </c>
      <c r="C53" s="131" t="inlineStr">
        <is>
          <t>International</t>
        </is>
      </c>
      <c r="D53" s="119" t="n">
        <v>72000</v>
      </c>
      <c r="E53" s="119" t="n">
        <v>85000</v>
      </c>
      <c r="F53" s="119" t="n">
        <v>99000</v>
      </c>
      <c r="G53" s="119" t="n">
        <v>114000</v>
      </c>
      <c r="H53" s="132" t="n">
        <v>370000</v>
      </c>
      <c r="I53" s="133">
        <f>IFERROR((H52-340000)/340000,0)</f>
        <v/>
      </c>
    </row>
    <row r="54" ht="15.75" customHeight="1" s="77">
      <c r="A54" s="136" t="n">
        <v>19</v>
      </c>
      <c r="B54" s="127" t="inlineStr">
        <is>
          <t>Jennifer Moore</t>
        </is>
      </c>
      <c r="C54" s="127" t="inlineStr">
        <is>
          <t>North</t>
        </is>
      </c>
      <c r="D54" s="110" t="n">
        <v>65000</v>
      </c>
      <c r="E54" s="110" t="n">
        <v>78000</v>
      </c>
      <c r="F54" s="110" t="n">
        <v>92000</v>
      </c>
      <c r="G54" s="110" t="n">
        <v>106000</v>
      </c>
      <c r="H54" s="128" t="n">
        <v>341000</v>
      </c>
      <c r="I54" s="129">
        <f>IFERROR((H53-310000)/310000,0)</f>
        <v/>
      </c>
    </row>
    <row r="55">
      <c r="A55" s="135" t="n">
        <v>20</v>
      </c>
      <c r="B55" s="131" t="inlineStr">
        <is>
          <t>Daniel Jackson</t>
        </is>
      </c>
      <c r="C55" s="131" t="inlineStr">
        <is>
          <t>West</t>
        </is>
      </c>
      <c r="D55" s="119" t="n">
        <v>58000</v>
      </c>
      <c r="E55" s="119" t="n">
        <v>72000</v>
      </c>
      <c r="F55" s="119" t="n">
        <v>86000</v>
      </c>
      <c r="G55" s="119" t="n">
        <v>100000</v>
      </c>
      <c r="H55" s="132" t="n">
        <v>316000</v>
      </c>
      <c r="I55" s="133">
        <f>IFERROR((H54-290000)/290000,0)</f>
        <v/>
      </c>
    </row>
    <row r="56" ht="15" customHeight="1" s="77"/>
    <row r="57" ht="15" customHeight="1" s="77">
      <c r="A57" s="99" t="inlineStr">
        <is>
          <t>DEAL PIPELINE SUMMARY</t>
        </is>
      </c>
    </row>
    <row r="58" ht="15.75" customHeight="1" s="77">
      <c r="A58" s="100" t="inlineStr">
        <is>
          <t>Deal ID</t>
        </is>
      </c>
      <c r="B58" s="100" t="inlineStr">
        <is>
          <t>Company</t>
        </is>
      </c>
      <c r="C58" s="100" t="inlineStr">
        <is>
          <t>Rep</t>
        </is>
      </c>
      <c r="D58" s="100" t="inlineStr">
        <is>
          <t>Stage</t>
        </is>
      </c>
      <c r="E58" s="100" t="inlineStr">
        <is>
          <t>Value</t>
        </is>
      </c>
      <c r="F58" s="100" t="inlineStr">
        <is>
          <t>Probability</t>
        </is>
      </c>
      <c r="G58" s="100" t="inlineStr">
        <is>
          <t>Weighted Val</t>
        </is>
      </c>
      <c r="H58" s="100" t="inlineStr">
        <is>
          <t>Expected Close</t>
        </is>
      </c>
      <c r="I58" s="100" t="inlineStr">
        <is>
          <t>Days in Stage</t>
        </is>
      </c>
      <c r="J58" s="100" t="inlineStr">
        <is>
          <t>Next Action</t>
        </is>
      </c>
      <c r="K58" s="100" t="inlineStr">
        <is>
          <t>Priority</t>
        </is>
      </c>
    </row>
    <row r="59" ht="15.75" customHeight="1" s="77">
      <c r="A59" s="116" t="inlineStr">
        <is>
          <t>DL-2025001</t>
        </is>
      </c>
      <c r="B59" s="108" t="inlineStr">
        <is>
          <t>Acme Corp</t>
        </is>
      </c>
      <c r="C59" s="108" t="inlineStr">
        <is>
          <t>Sarah Johnson</t>
        </is>
      </c>
      <c r="D59" s="108" t="inlineStr">
        <is>
          <t>Prospecting</t>
        </is>
      </c>
      <c r="E59" s="110" t="n">
        <v>110000</v>
      </c>
      <c r="F59" s="137" t="n">
        <v>0.1</v>
      </c>
      <c r="G59" s="128">
        <f>E58*F58</f>
        <v/>
      </c>
      <c r="H59" s="108" t="inlineStr">
        <is>
          <t>2025-08-03</t>
        </is>
      </c>
      <c r="I59" s="138" t="n">
        <v>44</v>
      </c>
      <c r="J59" s="108" t="inlineStr">
        <is>
          <t>Send intro email</t>
        </is>
      </c>
      <c r="K59" s="116" t="inlineStr">
        <is>
          <t>🔴 High</t>
        </is>
      </c>
    </row>
    <row r="60" ht="15.75" customHeight="1" s="77">
      <c r="A60" s="125" t="inlineStr">
        <is>
          <t>DL-2025002</t>
        </is>
      </c>
      <c r="B60" s="117" t="inlineStr">
        <is>
          <t>Beta Inc</t>
        </is>
      </c>
      <c r="C60" s="117" t="inlineStr">
        <is>
          <t>Mike Chen</t>
        </is>
      </c>
      <c r="D60" s="117" t="inlineStr">
        <is>
          <t>Qualification</t>
        </is>
      </c>
      <c r="E60" s="119" t="n">
        <v>31000</v>
      </c>
      <c r="F60" s="139" t="n">
        <v>0.25</v>
      </c>
      <c r="G60" s="132">
        <f>E59*F59</f>
        <v/>
      </c>
      <c r="H60" s="117" t="inlineStr">
        <is>
          <t>2025-10-09</t>
        </is>
      </c>
      <c r="I60" s="140" t="n">
        <v>24</v>
      </c>
      <c r="J60" s="117" t="inlineStr">
        <is>
          <t>Schedule call</t>
        </is>
      </c>
      <c r="K60" s="125" t="inlineStr">
        <is>
          <t>🟡 Medium</t>
        </is>
      </c>
    </row>
    <row r="61" ht="15.75" customHeight="1" s="77">
      <c r="A61" s="116" t="inlineStr">
        <is>
          <t>DL-2025003</t>
        </is>
      </c>
      <c r="B61" s="108" t="inlineStr">
        <is>
          <t>Gamma LLC</t>
        </is>
      </c>
      <c r="C61" s="108" t="inlineStr">
        <is>
          <t>Priya Sharma</t>
        </is>
      </c>
      <c r="D61" s="108" t="inlineStr">
        <is>
          <t>Demo</t>
        </is>
      </c>
      <c r="E61" s="110" t="n">
        <v>117000</v>
      </c>
      <c r="F61" s="137" t="n">
        <v>0.4</v>
      </c>
      <c r="G61" s="128">
        <f>E60*F60</f>
        <v/>
      </c>
      <c r="H61" s="108" t="inlineStr">
        <is>
          <t>2025-08-17</t>
        </is>
      </c>
      <c r="I61" s="138" t="n">
        <v>40</v>
      </c>
      <c r="J61" s="108" t="inlineStr">
        <is>
          <t>Prepare demo</t>
        </is>
      </c>
      <c r="K61" s="116" t="inlineStr">
        <is>
          <t>🟢 Low</t>
        </is>
      </c>
    </row>
    <row r="62" ht="15.75" customHeight="1" s="77">
      <c r="A62" s="125" t="inlineStr">
        <is>
          <t>DL-2025004</t>
        </is>
      </c>
      <c r="B62" s="117" t="inlineStr">
        <is>
          <t>Delta Co</t>
        </is>
      </c>
      <c r="C62" s="117" t="inlineStr">
        <is>
          <t>James Williams</t>
        </is>
      </c>
      <c r="D62" s="117" t="inlineStr">
        <is>
          <t>Proposal</t>
        </is>
      </c>
      <c r="E62" s="119" t="n">
        <v>151000</v>
      </c>
      <c r="F62" s="139" t="n">
        <v>0.6</v>
      </c>
      <c r="G62" s="132">
        <f>E61*F61</f>
        <v/>
      </c>
      <c r="H62" s="117" t="inlineStr">
        <is>
          <t>2025-08-11</t>
        </is>
      </c>
      <c r="I62" s="140" t="n">
        <v>27</v>
      </c>
      <c r="J62" s="117" t="inlineStr">
        <is>
          <t>Send proposal</t>
        </is>
      </c>
      <c r="K62" s="125" t="inlineStr">
        <is>
          <t>🔴 High</t>
        </is>
      </c>
    </row>
    <row r="63" ht="15.75" customHeight="1" s="77">
      <c r="A63" s="116" t="inlineStr">
        <is>
          <t>DL-2025005</t>
        </is>
      </c>
      <c r="B63" s="108" t="inlineStr">
        <is>
          <t>Epsilon Ltd</t>
        </is>
      </c>
      <c r="C63" s="108" t="inlineStr">
        <is>
          <t>Emily Davis</t>
        </is>
      </c>
      <c r="D63" s="108" t="inlineStr">
        <is>
          <t>Negotiation</t>
        </is>
      </c>
      <c r="E63" s="110" t="n">
        <v>35000</v>
      </c>
      <c r="F63" s="137" t="n">
        <v>0.8</v>
      </c>
      <c r="G63" s="128">
        <f>E62*F62</f>
        <v/>
      </c>
      <c r="H63" s="108" t="inlineStr">
        <is>
          <t>2025-10-18</t>
        </is>
      </c>
      <c r="I63" s="138" t="n">
        <v>36</v>
      </c>
      <c r="J63" s="108" t="inlineStr">
        <is>
          <t>Follow up</t>
        </is>
      </c>
      <c r="K63" s="116" t="inlineStr">
        <is>
          <t>🟡 Medium</t>
        </is>
      </c>
    </row>
    <row r="64" ht="15.75" customHeight="1" s="77">
      <c r="A64" s="125" t="inlineStr">
        <is>
          <t>DL-2025006</t>
        </is>
      </c>
      <c r="B64" s="117" t="inlineStr">
        <is>
          <t>Zeta Corp</t>
        </is>
      </c>
      <c r="C64" s="117" t="inlineStr">
        <is>
          <t>Carlos Ruiz</t>
        </is>
      </c>
      <c r="D64" s="117" t="inlineStr">
        <is>
          <t>Closed Won</t>
        </is>
      </c>
      <c r="E64" s="119" t="n">
        <v>50000</v>
      </c>
      <c r="F64" s="139" t="n">
        <v>1</v>
      </c>
      <c r="G64" s="132">
        <f>E63*F63</f>
        <v/>
      </c>
      <c r="H64" s="117" t="inlineStr">
        <is>
          <t>2025-09-24</t>
        </is>
      </c>
      <c r="I64" s="140" t="n">
        <v>39</v>
      </c>
      <c r="J64" s="117" t="inlineStr">
        <is>
          <t>Contract review</t>
        </is>
      </c>
      <c r="K64" s="125" t="inlineStr">
        <is>
          <t>🟢 Low</t>
        </is>
      </c>
    </row>
    <row r="65" ht="15.75" customHeight="1" s="77">
      <c r="A65" s="116" t="inlineStr">
        <is>
          <t>DL-2025007</t>
        </is>
      </c>
      <c r="B65" s="108" t="inlineStr">
        <is>
          <t>Eta Systems</t>
        </is>
      </c>
      <c r="C65" s="108" t="inlineStr">
        <is>
          <t>Lisa Park</t>
        </is>
      </c>
      <c r="D65" s="108" t="inlineStr">
        <is>
          <t>Closed Lost</t>
        </is>
      </c>
      <c r="E65" s="110" t="n">
        <v>135000</v>
      </c>
      <c r="F65" s="137" t="n">
        <v>0</v>
      </c>
      <c r="G65" s="128">
        <f>E64*F64</f>
        <v/>
      </c>
      <c r="H65" s="108" t="inlineStr">
        <is>
          <t>2025-10-15</t>
        </is>
      </c>
      <c r="I65" s="138" t="n">
        <v>9</v>
      </c>
      <c r="J65" s="108" t="inlineStr">
        <is>
          <t>Re-engage</t>
        </is>
      </c>
      <c r="K65" s="116" t="inlineStr">
        <is>
          <t>🔴 High</t>
        </is>
      </c>
    </row>
    <row r="66" ht="15.75" customHeight="1" s="77">
      <c r="A66" s="125" t="inlineStr">
        <is>
          <t>DL-2025008</t>
        </is>
      </c>
      <c r="B66" s="117" t="inlineStr">
        <is>
          <t>Theta Inc</t>
        </is>
      </c>
      <c r="C66" s="117" t="inlineStr">
        <is>
          <t>Tom Brown</t>
        </is>
      </c>
      <c r="D66" s="117" t="inlineStr">
        <is>
          <t>Prospecting</t>
        </is>
      </c>
      <c r="E66" s="119" t="n">
        <v>31000</v>
      </c>
      <c r="F66" s="139" t="n">
        <v>0.1</v>
      </c>
      <c r="G66" s="132">
        <f>E65*F65</f>
        <v/>
      </c>
      <c r="H66" s="117" t="inlineStr">
        <is>
          <t>2025-09-20</t>
        </is>
      </c>
      <c r="I66" s="140" t="n">
        <v>43</v>
      </c>
      <c r="J66" s="117" t="inlineStr">
        <is>
          <t>Send intro email</t>
        </is>
      </c>
      <c r="K66" s="125" t="inlineStr">
        <is>
          <t>🟡 Medium</t>
        </is>
      </c>
    </row>
    <row r="67" ht="15.75" customHeight="1" s="77">
      <c r="A67" s="116" t="inlineStr">
        <is>
          <t>DL-2025009</t>
        </is>
      </c>
      <c r="B67" s="108" t="inlineStr">
        <is>
          <t>Iota LLC</t>
        </is>
      </c>
      <c r="C67" s="108" t="inlineStr">
        <is>
          <t>Anna Schmidt</t>
        </is>
      </c>
      <c r="D67" s="108" t="inlineStr">
        <is>
          <t>Qualification</t>
        </is>
      </c>
      <c r="E67" s="110" t="n">
        <v>32000</v>
      </c>
      <c r="F67" s="137" t="n">
        <v>0.25</v>
      </c>
      <c r="G67" s="128">
        <f>E66*F66</f>
        <v/>
      </c>
      <c r="H67" s="108" t="inlineStr">
        <is>
          <t>2025-09-29</t>
        </is>
      </c>
      <c r="I67" s="138" t="n">
        <v>6</v>
      </c>
      <c r="J67" s="108" t="inlineStr">
        <is>
          <t>Schedule call</t>
        </is>
      </c>
      <c r="K67" s="116" t="inlineStr">
        <is>
          <t>🟢 Low</t>
        </is>
      </c>
    </row>
    <row r="68" ht="15.75" customHeight="1" s="77">
      <c r="A68" s="125" t="inlineStr">
        <is>
          <t>DL-2025010</t>
        </is>
      </c>
      <c r="B68" s="117" t="inlineStr">
        <is>
          <t>Kappa Co</t>
        </is>
      </c>
      <c r="C68" s="117" t="inlineStr">
        <is>
          <t>David Kim</t>
        </is>
      </c>
      <c r="D68" s="117" t="inlineStr">
        <is>
          <t>Demo</t>
        </is>
      </c>
      <c r="E68" s="119" t="n">
        <v>177000</v>
      </c>
      <c r="F68" s="139" t="n">
        <v>0.4</v>
      </c>
      <c r="G68" s="132">
        <f>E67*F67</f>
        <v/>
      </c>
      <c r="H68" s="117" t="inlineStr">
        <is>
          <t>2025-09-12</t>
        </is>
      </c>
      <c r="I68" s="140" t="n">
        <v>14</v>
      </c>
      <c r="J68" s="117" t="inlineStr">
        <is>
          <t>Prepare demo</t>
        </is>
      </c>
      <c r="K68" s="125" t="inlineStr">
        <is>
          <t>🔴 High</t>
        </is>
      </c>
    </row>
    <row r="69" ht="15.75" customHeight="1" s="77">
      <c r="A69" s="116" t="inlineStr">
        <is>
          <t>DL-2025011</t>
        </is>
      </c>
      <c r="B69" s="108" t="inlineStr">
        <is>
          <t>Lambda Ltd</t>
        </is>
      </c>
      <c r="C69" s="108" t="inlineStr">
        <is>
          <t>Rachel Green</t>
        </is>
      </c>
      <c r="D69" s="108" t="inlineStr">
        <is>
          <t>Proposal</t>
        </is>
      </c>
      <c r="E69" s="110" t="n">
        <v>106000</v>
      </c>
      <c r="F69" s="137" t="n">
        <v>0.6</v>
      </c>
      <c r="G69" s="128">
        <f>E68*F68</f>
        <v/>
      </c>
      <c r="H69" s="108" t="inlineStr">
        <is>
          <t>2025-07-27</t>
        </is>
      </c>
      <c r="I69" s="138" t="n">
        <v>17</v>
      </c>
      <c r="J69" s="108" t="inlineStr">
        <is>
          <t>Send proposal</t>
        </is>
      </c>
      <c r="K69" s="116" t="inlineStr">
        <is>
          <t>🟡 Medium</t>
        </is>
      </c>
    </row>
    <row r="70" ht="15.75" customHeight="1" s="77">
      <c r="A70" s="125" t="inlineStr">
        <is>
          <t>DL-2025012</t>
        </is>
      </c>
      <c r="B70" s="117" t="inlineStr">
        <is>
          <t>Mu Corp</t>
        </is>
      </c>
      <c r="C70" s="117" t="inlineStr">
        <is>
          <t>Mark Thompson</t>
        </is>
      </c>
      <c r="D70" s="117" t="inlineStr">
        <is>
          <t>Negotiation</t>
        </is>
      </c>
      <c r="E70" s="119" t="n">
        <v>146000</v>
      </c>
      <c r="F70" s="139" t="n">
        <v>0.8</v>
      </c>
      <c r="G70" s="132">
        <f>E69*F69</f>
        <v/>
      </c>
      <c r="H70" s="117" t="inlineStr">
        <is>
          <t>2025-09-22</t>
        </is>
      </c>
      <c r="I70" s="140" t="n">
        <v>19</v>
      </c>
      <c r="J70" s="117" t="inlineStr">
        <is>
          <t>Follow up</t>
        </is>
      </c>
      <c r="K70" s="125" t="inlineStr">
        <is>
          <t>🟢 Low</t>
        </is>
      </c>
    </row>
    <row r="71" ht="15.75" customHeight="1" s="77">
      <c r="A71" s="116" t="inlineStr">
        <is>
          <t>DL-2025013</t>
        </is>
      </c>
      <c r="B71" s="108" t="inlineStr">
        <is>
          <t>Nu Systems</t>
        </is>
      </c>
      <c r="C71" s="108" t="inlineStr">
        <is>
          <t>Susan Lee</t>
        </is>
      </c>
      <c r="D71" s="108" t="inlineStr">
        <is>
          <t>Closed Won</t>
        </is>
      </c>
      <c r="E71" s="110" t="n">
        <v>167000</v>
      </c>
      <c r="F71" s="137" t="n">
        <v>1</v>
      </c>
      <c r="G71" s="128">
        <f>E70*F70</f>
        <v/>
      </c>
      <c r="H71" s="108" t="inlineStr">
        <is>
          <t>2025-09-10</t>
        </is>
      </c>
      <c r="I71" s="138" t="n">
        <v>19</v>
      </c>
      <c r="J71" s="108" t="inlineStr">
        <is>
          <t>Contract review</t>
        </is>
      </c>
      <c r="K71" s="116" t="inlineStr">
        <is>
          <t>🔴 High</t>
        </is>
      </c>
    </row>
    <row r="72" ht="15.75" customHeight="1" s="77">
      <c r="A72" s="125" t="inlineStr">
        <is>
          <t>DL-2025014</t>
        </is>
      </c>
      <c r="B72" s="117" t="inlineStr">
        <is>
          <t>Xi Inc</t>
        </is>
      </c>
      <c r="C72" s="117" t="inlineStr">
        <is>
          <t>Kevin Martin</t>
        </is>
      </c>
      <c r="D72" s="117" t="inlineStr">
        <is>
          <t>Closed Lost</t>
        </is>
      </c>
      <c r="E72" s="119" t="n">
        <v>198000</v>
      </c>
      <c r="F72" s="139" t="n">
        <v>0</v>
      </c>
      <c r="G72" s="132">
        <f>E71*F71</f>
        <v/>
      </c>
      <c r="H72" s="117" t="inlineStr">
        <is>
          <t>2025-10-07</t>
        </is>
      </c>
      <c r="I72" s="140" t="n">
        <v>10</v>
      </c>
      <c r="J72" s="117" t="inlineStr">
        <is>
          <t>Re-engage</t>
        </is>
      </c>
      <c r="K72" s="125" t="inlineStr">
        <is>
          <t>🟡 Medium</t>
        </is>
      </c>
    </row>
    <row r="73" ht="15.75" customHeight="1" s="77">
      <c r="A73" s="116" t="inlineStr">
        <is>
          <t>DL-2025015</t>
        </is>
      </c>
      <c r="B73" s="108" t="inlineStr">
        <is>
          <t>Omicron</t>
        </is>
      </c>
      <c r="C73" s="108" t="inlineStr">
        <is>
          <t>Nina Patel</t>
        </is>
      </c>
      <c r="D73" s="108" t="inlineStr">
        <is>
          <t>Prospecting</t>
        </is>
      </c>
      <c r="E73" s="110" t="n">
        <v>155000</v>
      </c>
      <c r="F73" s="137" t="n">
        <v>0.1</v>
      </c>
      <c r="G73" s="128">
        <f>E72*F72</f>
        <v/>
      </c>
      <c r="H73" s="108" t="inlineStr">
        <is>
          <t>2025-10-17</t>
        </is>
      </c>
      <c r="I73" s="138" t="n">
        <v>11</v>
      </c>
      <c r="J73" s="108" t="inlineStr">
        <is>
          <t>Send intro email</t>
        </is>
      </c>
      <c r="K73" s="116" t="inlineStr">
        <is>
          <t>🟢 Low</t>
        </is>
      </c>
    </row>
    <row r="74" ht="15.75" customHeight="1" s="77">
      <c r="A74" s="125" t="inlineStr">
        <is>
          <t>DL-2025016</t>
        </is>
      </c>
      <c r="B74" s="117" t="inlineStr">
        <is>
          <t>Acme Corp</t>
        </is>
      </c>
      <c r="C74" s="117" t="inlineStr">
        <is>
          <t>Chris Wilson</t>
        </is>
      </c>
      <c r="D74" s="117" t="inlineStr">
        <is>
          <t>Qualification</t>
        </is>
      </c>
      <c r="E74" s="119" t="n">
        <v>66000</v>
      </c>
      <c r="F74" s="139" t="n">
        <v>0.25</v>
      </c>
      <c r="G74" s="132">
        <f>E73*F73</f>
        <v/>
      </c>
      <c r="H74" s="117" t="inlineStr">
        <is>
          <t>2025-08-27</t>
        </is>
      </c>
      <c r="I74" s="140" t="n">
        <v>15</v>
      </c>
      <c r="J74" s="117" t="inlineStr">
        <is>
          <t>Schedule call</t>
        </is>
      </c>
      <c r="K74" s="125" t="inlineStr">
        <is>
          <t>🔴 High</t>
        </is>
      </c>
    </row>
    <row r="75" ht="15.75" customHeight="1" s="77">
      <c r="A75" s="116" t="inlineStr">
        <is>
          <t>DL-2025017</t>
        </is>
      </c>
      <c r="B75" s="108" t="inlineStr">
        <is>
          <t>Beta Inc</t>
        </is>
      </c>
      <c r="C75" s="108" t="inlineStr">
        <is>
          <t>Amanda Foster</t>
        </is>
      </c>
      <c r="D75" s="108" t="inlineStr">
        <is>
          <t>Demo</t>
        </is>
      </c>
      <c r="E75" s="110" t="n">
        <v>159000</v>
      </c>
      <c r="F75" s="137" t="n">
        <v>0.4</v>
      </c>
      <c r="G75" s="128">
        <f>E74*F74</f>
        <v/>
      </c>
      <c r="H75" s="108" t="inlineStr">
        <is>
          <t>2025-10-06</t>
        </is>
      </c>
      <c r="I75" s="138" t="n">
        <v>6</v>
      </c>
      <c r="J75" s="108" t="inlineStr">
        <is>
          <t>Prepare demo</t>
        </is>
      </c>
      <c r="K75" s="116" t="inlineStr">
        <is>
          <t>🟡 Medium</t>
        </is>
      </c>
    </row>
    <row r="76" ht="15.75" customHeight="1" s="77">
      <c r="A76" s="125" t="inlineStr">
        <is>
          <t>DL-2025018</t>
        </is>
      </c>
      <c r="B76" s="117" t="inlineStr">
        <is>
          <t>Gamma LLC</t>
        </is>
      </c>
      <c r="C76" s="117" t="inlineStr">
        <is>
          <t>Robert Taylor</t>
        </is>
      </c>
      <c r="D76" s="117" t="inlineStr">
        <is>
          <t>Proposal</t>
        </is>
      </c>
      <c r="E76" s="119" t="n">
        <v>67000</v>
      </c>
      <c r="F76" s="139" t="n">
        <v>0.6</v>
      </c>
      <c r="G76" s="132">
        <f>E75*F75</f>
        <v/>
      </c>
      <c r="H76" s="117" t="inlineStr">
        <is>
          <t>2025-08-07</t>
        </is>
      </c>
      <c r="I76" s="140" t="n">
        <v>8</v>
      </c>
      <c r="J76" s="117" t="inlineStr">
        <is>
          <t>Send proposal</t>
        </is>
      </c>
      <c r="K76" s="125" t="inlineStr">
        <is>
          <t>🟢 Low</t>
        </is>
      </c>
    </row>
    <row r="77" ht="15.75" customHeight="1" s="77">
      <c r="A77" s="116" t="inlineStr">
        <is>
          <t>DL-2025019</t>
        </is>
      </c>
      <c r="B77" s="108" t="inlineStr">
        <is>
          <t>Delta Co</t>
        </is>
      </c>
      <c r="C77" s="108" t="inlineStr">
        <is>
          <t>Jennifer Moore</t>
        </is>
      </c>
      <c r="D77" s="108" t="inlineStr">
        <is>
          <t>Negotiation</t>
        </is>
      </c>
      <c r="E77" s="110" t="n">
        <v>158000</v>
      </c>
      <c r="F77" s="137" t="n">
        <v>0.8</v>
      </c>
      <c r="G77" s="128">
        <f>E76*F76</f>
        <v/>
      </c>
      <c r="H77" s="108" t="inlineStr">
        <is>
          <t>2025-09-02</t>
        </is>
      </c>
      <c r="I77" s="138" t="n">
        <v>36</v>
      </c>
      <c r="J77" s="108" t="inlineStr">
        <is>
          <t>Follow up</t>
        </is>
      </c>
      <c r="K77" s="116" t="inlineStr">
        <is>
          <t>🔴 High</t>
        </is>
      </c>
    </row>
    <row r="78">
      <c r="A78" s="125" t="inlineStr">
        <is>
          <t>DL-2025020</t>
        </is>
      </c>
      <c r="B78" s="117" t="inlineStr">
        <is>
          <t>Epsilon Ltd</t>
        </is>
      </c>
      <c r="C78" s="117" t="inlineStr">
        <is>
          <t>Daniel Jackson</t>
        </is>
      </c>
      <c r="D78" s="117" t="inlineStr">
        <is>
          <t>Closed Won</t>
        </is>
      </c>
      <c r="E78" s="119" t="n">
        <v>45000</v>
      </c>
      <c r="F78" s="139" t="n">
        <v>1</v>
      </c>
      <c r="G78" s="132">
        <f>E77*F77</f>
        <v/>
      </c>
      <c r="H78" s="117" t="inlineStr">
        <is>
          <t>2025-07-19</t>
        </is>
      </c>
      <c r="I78" s="140" t="n">
        <v>31</v>
      </c>
      <c r="J78" s="117" t="inlineStr">
        <is>
          <t>Contract review</t>
        </is>
      </c>
      <c r="K78" s="125" t="inlineStr">
        <is>
          <t>🟡 Medium</t>
        </is>
      </c>
    </row>
    <row r="79" ht="15" customHeight="1" s="77"/>
    <row r="80" ht="15" customHeight="1" s="77">
      <c r="A80" s="99" t="inlineStr">
        <is>
          <t>REGIONAL TARGET vs ACTUAL</t>
        </is>
      </c>
    </row>
    <row r="81" ht="15.75" customHeight="1" s="77">
      <c r="A81" s="100" t="inlineStr">
        <is>
          <t>Region</t>
        </is>
      </c>
      <c r="B81" s="100" t="inlineStr">
        <is>
          <t>Q1 Actual</t>
        </is>
      </c>
      <c r="C81" s="100" t="inlineStr">
        <is>
          <t>Q1 Target</t>
        </is>
      </c>
      <c r="D81" s="100" t="inlineStr">
        <is>
          <t>Q2 Actual</t>
        </is>
      </c>
      <c r="E81" s="100" t="inlineStr">
        <is>
          <t>Q2 Target</t>
        </is>
      </c>
      <c r="F81" s="100" t="inlineStr">
        <is>
          <t>Q3 Actual</t>
        </is>
      </c>
      <c r="G81" s="100" t="inlineStr">
        <is>
          <t>Q3 Target</t>
        </is>
      </c>
      <c r="H81" s="100" t="inlineStr">
        <is>
          <t>Achievement</t>
        </is>
      </c>
    </row>
    <row r="82" ht="15.75" customHeight="1" s="77">
      <c r="A82" s="108" t="inlineStr">
        <is>
          <t>North</t>
        </is>
      </c>
      <c r="B82" s="110" t="n">
        <v>490000</v>
      </c>
      <c r="C82" s="110" t="n">
        <v>500000</v>
      </c>
      <c r="D82" s="110" t="n">
        <v>520000</v>
      </c>
      <c r="E82" s="110" t="n">
        <v>510000</v>
      </c>
      <c r="F82" s="110" t="n">
        <v>535000</v>
      </c>
      <c r="G82" s="110" t="n">
        <v>520000</v>
      </c>
      <c r="H82" s="141">
        <f>IFERROR((B81+D81+F81)/(C81+E81+G81),0)</f>
        <v/>
      </c>
    </row>
    <row r="83" ht="15.75" customHeight="1" s="77">
      <c r="A83" s="117" t="inlineStr">
        <is>
          <t>South</t>
        </is>
      </c>
      <c r="B83" s="119" t="n">
        <v>360000</v>
      </c>
      <c r="C83" s="119" t="n">
        <v>380000</v>
      </c>
      <c r="D83" s="119" t="n">
        <v>375000</v>
      </c>
      <c r="E83" s="119" t="n">
        <v>385000</v>
      </c>
      <c r="F83" s="119" t="n">
        <v>390000</v>
      </c>
      <c r="G83" s="119" t="n">
        <v>390000</v>
      </c>
      <c r="H83" s="142">
        <f>IFERROR((B82+D82+F82)/(C82+E82+G82),0)</f>
        <v/>
      </c>
    </row>
    <row r="84" ht="15.75" customHeight="1" s="77">
      <c r="A84" s="108" t="inlineStr">
        <is>
          <t>East</t>
        </is>
      </c>
      <c r="B84" s="110" t="n">
        <v>555000</v>
      </c>
      <c r="C84" s="110" t="n">
        <v>540000</v>
      </c>
      <c r="D84" s="110" t="n">
        <v>570000</v>
      </c>
      <c r="E84" s="110" t="n">
        <v>555000</v>
      </c>
      <c r="F84" s="110" t="n">
        <v>585000</v>
      </c>
      <c r="G84" s="110" t="n">
        <v>570000</v>
      </c>
      <c r="H84" s="141">
        <f>IFERROR((B83+D83+F83)/(C83+E83+G83),0)</f>
        <v/>
      </c>
    </row>
    <row r="85" ht="15.75" customHeight="1" s="77">
      <c r="A85" s="117" t="inlineStr">
        <is>
          <t>West</t>
        </is>
      </c>
      <c r="B85" s="119" t="n">
        <v>310000</v>
      </c>
      <c r="C85" s="119" t="n">
        <v>320000</v>
      </c>
      <c r="D85" s="119" t="n">
        <v>325000</v>
      </c>
      <c r="E85" s="119" t="n">
        <v>325000</v>
      </c>
      <c r="F85" s="119" t="n">
        <v>340000</v>
      </c>
      <c r="G85" s="119" t="n">
        <v>335000</v>
      </c>
      <c r="H85" s="142">
        <f>IFERROR((B84+D84+F84)/(C84+E84+G84),0)</f>
        <v/>
      </c>
    </row>
    <row r="86" ht="15.75" customHeight="1" s="77">
      <c r="A86" s="108" t="inlineStr">
        <is>
          <t>Central</t>
        </is>
      </c>
      <c r="B86" s="110" t="n">
        <v>215000</v>
      </c>
      <c r="C86" s="110" t="n">
        <v>220000</v>
      </c>
      <c r="D86" s="110" t="n">
        <v>225000</v>
      </c>
      <c r="E86" s="110" t="n">
        <v>225000</v>
      </c>
      <c r="F86" s="110" t="n">
        <v>235000</v>
      </c>
      <c r="G86" s="110" t="n">
        <v>230000</v>
      </c>
      <c r="H86" s="141">
        <f>IFERROR((B85+D85+F85)/(C85+E85+G85),0)</f>
        <v/>
      </c>
    </row>
    <row r="87">
      <c r="A87" s="117" t="inlineStr">
        <is>
          <t>International</t>
        </is>
      </c>
      <c r="B87" s="119" t="n">
        <v>420000</v>
      </c>
      <c r="C87" s="119" t="n">
        <v>400000</v>
      </c>
      <c r="D87" s="119" t="n">
        <v>440000</v>
      </c>
      <c r="E87" s="119" t="n">
        <v>420000</v>
      </c>
      <c r="F87" s="119" t="n">
        <v>455000</v>
      </c>
      <c r="G87" s="119" t="n">
        <v>440000</v>
      </c>
      <c r="H87" s="142">
        <f>IFERROR((B86+D86+F86)/(C86+E86+G86),0)</f>
        <v/>
      </c>
    </row>
  </sheetData>
  <mergeCells count="31">
    <mergeCell ref="A9:N9"/>
    <mergeCell ref="L7:M7"/>
    <mergeCell ref="B7:C7"/>
    <mergeCell ref="J5:K5"/>
    <mergeCell ref="A1:S2"/>
    <mergeCell ref="N7:O7"/>
    <mergeCell ref="F6:G6"/>
    <mergeCell ref="A79:H79"/>
    <mergeCell ref="A19:J19"/>
    <mergeCell ref="F7:G7"/>
    <mergeCell ref="D6:E6"/>
    <mergeCell ref="A33:I33"/>
    <mergeCell ref="H6:I6"/>
    <mergeCell ref="J6:K6"/>
    <mergeCell ref="P6:Q6"/>
    <mergeCell ref="F5:G5"/>
    <mergeCell ref="L5:M5"/>
    <mergeCell ref="N5:O5"/>
    <mergeCell ref="A56:K56"/>
    <mergeCell ref="D7:E7"/>
    <mergeCell ref="P7:Q7"/>
    <mergeCell ref="H7:I7"/>
    <mergeCell ref="J7:K7"/>
    <mergeCell ref="B6:C6"/>
    <mergeCell ref="L6:M6"/>
    <mergeCell ref="B5:C5"/>
    <mergeCell ref="N6:O6"/>
    <mergeCell ref="D5:E5"/>
    <mergeCell ref="A3:S3"/>
    <mergeCell ref="H5:I5"/>
    <mergeCell ref="P5:Q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76" min="1" max="1"/>
    <col width="10" customWidth="1" style="76" min="2" max="2"/>
    <col width="18" customWidth="1" style="76" min="3" max="3"/>
    <col width="14" customWidth="1" style="76" min="4" max="6"/>
    <col width="11" customWidth="1" style="76" min="7" max="7"/>
    <col width="12" customWidth="1" style="76" min="8" max="9"/>
    <col width="14" customWidth="1" style="76" min="10" max="10"/>
    <col width="12" customWidth="1" style="76" min="11" max="11"/>
    <col width="14" customWidth="1" style="76" min="12" max="12"/>
    <col width="20" customWidth="1" style="76" min="13" max="13"/>
    <col width="12" customWidth="1" style="76" min="14" max="14"/>
    <col width="14" customWidth="1" style="76" min="15" max="15"/>
    <col width="12" customWidth="1" style="76" min="16" max="16"/>
    <col width="10" customWidth="1" style="76" min="17" max="17"/>
    <col width="20" customWidth="1" style="76" min="18" max="18"/>
  </cols>
  <sheetData>
    <row r="1" ht="15" customHeight="1" s="77">
      <c r="A1" s="101" t="inlineStr">
        <is>
          <t>Date</t>
        </is>
      </c>
      <c r="B1" s="101" t="inlineStr">
        <is>
          <t>Month</t>
        </is>
      </c>
      <c r="C1" s="101" t="inlineStr">
        <is>
          <t>Rep Name</t>
        </is>
      </c>
      <c r="D1" s="101" t="inlineStr">
        <is>
          <t>Region</t>
        </is>
      </c>
      <c r="E1" s="101" t="inlineStr">
        <is>
          <t>Product</t>
        </is>
      </c>
      <c r="F1" s="101" t="inlineStr">
        <is>
          <t>Category</t>
        </is>
      </c>
      <c r="G1" s="101" t="inlineStr">
        <is>
          <t>Units Sold</t>
        </is>
      </c>
      <c r="H1" s="101" t="inlineStr">
        <is>
          <t>Revenue</t>
        </is>
      </c>
      <c r="I1" s="101" t="inlineStr">
        <is>
          <t>Target</t>
        </is>
      </c>
      <c r="J1" s="101" t="inlineStr">
        <is>
          <t>Prev Year Rev</t>
        </is>
      </c>
      <c r="K1" s="101" t="inlineStr">
        <is>
          <t>Status</t>
        </is>
      </c>
      <c r="L1" s="101" t="inlineStr">
        <is>
          <t>Sales Cycle (days)</t>
        </is>
      </c>
      <c r="M1" s="101" t="inlineStr">
        <is>
          <t>Customer Name</t>
        </is>
      </c>
      <c r="N1" s="101" t="inlineStr">
        <is>
          <t>Deal Size</t>
        </is>
      </c>
      <c r="O1" s="101" t="inlineStr">
        <is>
          <t>Lead Source</t>
        </is>
      </c>
      <c r="P1" s="101" t="inlineStr">
        <is>
          <t>Commission</t>
        </is>
      </c>
      <c r="Q1" s="101" t="inlineStr">
        <is>
          <t>Discount%</t>
        </is>
      </c>
      <c r="R1" s="101" t="inlineStr">
        <is>
          <t>Notes</t>
        </is>
      </c>
    </row>
    <row r="2" ht="15" customHeight="1" s="77">
      <c r="A2" s="108" t="inlineStr">
        <is>
          <t>2025-04-25</t>
        </is>
      </c>
      <c r="B2" s="108" t="inlineStr">
        <is>
          <t>April</t>
        </is>
      </c>
      <c r="C2" s="108" t="inlineStr">
        <is>
          <t>Sarah Johnson</t>
        </is>
      </c>
      <c r="D2" s="108" t="inlineStr">
        <is>
          <t>North</t>
        </is>
      </c>
      <c r="E2" s="108" t="inlineStr">
        <is>
          <t>Product A</t>
        </is>
      </c>
      <c r="F2" s="108" t="inlineStr">
        <is>
          <t>Enterprise</t>
        </is>
      </c>
      <c r="G2" s="109" t="n">
        <v>29</v>
      </c>
      <c r="H2" s="110" t="n">
        <v>1449971</v>
      </c>
      <c r="I2" s="110" t="n">
        <v>1719855</v>
      </c>
      <c r="J2" s="110" t="n">
        <v>1251530</v>
      </c>
      <c r="K2" s="108" t="inlineStr">
        <is>
          <t>Won</t>
        </is>
      </c>
      <c r="L2" s="138" t="n">
        <v>34</v>
      </c>
      <c r="M2" s="108" t="inlineStr">
        <is>
          <t>Acme Corp</t>
        </is>
      </c>
      <c r="N2" s="108" t="inlineStr">
        <is>
          <t>Enterprise (&gt;$200K)</t>
        </is>
      </c>
      <c r="O2" s="108" t="inlineStr">
        <is>
          <t>Referral</t>
        </is>
      </c>
      <c r="P2" s="110">
        <f>H2*0.08</f>
        <v/>
      </c>
      <c r="Q2" s="137" t="n">
        <v>0.14</v>
      </c>
      <c r="R2" s="108" t="inlineStr">
        <is>
          <t>Q1 deal - Referral channel</t>
        </is>
      </c>
    </row>
    <row r="3" ht="15" customHeight="1" s="77">
      <c r="A3" s="117" t="inlineStr">
        <is>
          <t>2025-12-17</t>
        </is>
      </c>
      <c r="B3" s="117" t="inlineStr">
        <is>
          <t>December</t>
        </is>
      </c>
      <c r="C3" s="117" t="inlineStr">
        <is>
          <t>Mike Chen</t>
        </is>
      </c>
      <c r="D3" s="117" t="inlineStr">
        <is>
          <t>West</t>
        </is>
      </c>
      <c r="E3" s="117" t="inlineStr">
        <is>
          <t>Product B</t>
        </is>
      </c>
      <c r="F3" s="117" t="inlineStr">
        <is>
          <t>SMB</t>
        </is>
      </c>
      <c r="G3" s="118" t="n">
        <v>8</v>
      </c>
      <c r="H3" s="119" t="n">
        <v>39992</v>
      </c>
      <c r="I3" s="119" t="n">
        <v>45301</v>
      </c>
      <c r="J3" s="119" t="n">
        <v>34174</v>
      </c>
      <c r="K3" s="117" t="inlineStr">
        <is>
          <t>Won</t>
        </is>
      </c>
      <c r="L3" s="140" t="n">
        <v>99</v>
      </c>
      <c r="M3" s="117" t="inlineStr">
        <is>
          <t>Beta Inc</t>
        </is>
      </c>
      <c r="N3" s="117" t="inlineStr">
        <is>
          <t>Medium ($10K-$50K)</t>
        </is>
      </c>
      <c r="O3" s="117" t="inlineStr">
        <is>
          <t>Cold Call</t>
        </is>
      </c>
      <c r="P3" s="119">
        <f>H3*0.08</f>
        <v/>
      </c>
      <c r="Q3" s="139" t="n">
        <v>0.04</v>
      </c>
      <c r="R3" s="117" t="inlineStr">
        <is>
          <t>Q2 deal - Cold Call channel</t>
        </is>
      </c>
    </row>
    <row r="4" ht="15" customHeight="1" s="77">
      <c r="A4" s="108" t="inlineStr">
        <is>
          <t>2025-08-28</t>
        </is>
      </c>
      <c r="B4" s="108" t="inlineStr">
        <is>
          <t>August</t>
        </is>
      </c>
      <c r="C4" s="108" t="inlineStr">
        <is>
          <t>Priya Sharma</t>
        </is>
      </c>
      <c r="D4" s="108" t="inlineStr">
        <is>
          <t>East</t>
        </is>
      </c>
      <c r="E4" s="108" t="inlineStr">
        <is>
          <t>Product C</t>
        </is>
      </c>
      <c r="F4" s="108" t="inlineStr">
        <is>
          <t>Mid-Market</t>
        </is>
      </c>
      <c r="G4" s="109" t="n">
        <v>16</v>
      </c>
      <c r="H4" s="110" t="n">
        <v>399984</v>
      </c>
      <c r="I4" s="110" t="n">
        <v>383802</v>
      </c>
      <c r="J4" s="110" t="n">
        <v>385995</v>
      </c>
      <c r="K4" s="108" t="inlineStr">
        <is>
          <t>Won</t>
        </is>
      </c>
      <c r="L4" s="138" t="n">
        <v>103</v>
      </c>
      <c r="M4" s="108" t="inlineStr">
        <is>
          <t>Gamma LLC</t>
        </is>
      </c>
      <c r="N4" s="108" t="inlineStr">
        <is>
          <t>Enterprise (&gt;$200K)</t>
        </is>
      </c>
      <c r="O4" s="108" t="inlineStr">
        <is>
          <t>LinkedIn</t>
        </is>
      </c>
      <c r="P4" s="110">
        <f>H4*0.08</f>
        <v/>
      </c>
      <c r="Q4" s="137" t="n">
        <v>0.01</v>
      </c>
      <c r="R4" s="108" t="inlineStr">
        <is>
          <t>Q3 deal - LinkedIn channel</t>
        </is>
      </c>
    </row>
    <row r="5" ht="15" customHeight="1" s="77">
      <c r="A5" s="117" t="inlineStr">
        <is>
          <t>2025-02-16</t>
        </is>
      </c>
      <c r="B5" s="117" t="inlineStr">
        <is>
          <t>February</t>
        </is>
      </c>
      <c r="C5" s="117" t="inlineStr">
        <is>
          <t>James Williams</t>
        </is>
      </c>
      <c r="D5" s="117" t="inlineStr">
        <is>
          <t>South</t>
        </is>
      </c>
      <c r="E5" s="117" t="inlineStr">
        <is>
          <t>Product D</t>
        </is>
      </c>
      <c r="F5" s="117" t="inlineStr">
        <is>
          <t>Startup</t>
        </is>
      </c>
      <c r="G5" s="118" t="n">
        <v>15</v>
      </c>
      <c r="H5" s="119" t="n">
        <v>374985</v>
      </c>
      <c r="I5" s="119" t="n">
        <v>344961</v>
      </c>
      <c r="J5" s="119" t="n">
        <v>334562</v>
      </c>
      <c r="K5" s="117" t="inlineStr">
        <is>
          <t>Lost</t>
        </is>
      </c>
      <c r="L5" s="140" t="n">
        <v>102</v>
      </c>
      <c r="M5" s="117" t="inlineStr">
        <is>
          <t>Delta Ltd</t>
        </is>
      </c>
      <c r="N5" s="117" t="inlineStr">
        <is>
          <t>Enterprise (&gt;$200K)</t>
        </is>
      </c>
      <c r="O5" s="117" t="inlineStr">
        <is>
          <t>Trade Show</t>
        </is>
      </c>
      <c r="P5" s="119">
        <f>H5*0.08</f>
        <v/>
      </c>
      <c r="Q5" s="139" t="n">
        <v>0.07000000000000001</v>
      </c>
      <c r="R5" s="117" t="inlineStr">
        <is>
          <t>Q4 deal - Trade Show channel</t>
        </is>
      </c>
    </row>
    <row r="6" ht="15" customHeight="1" s="77">
      <c r="A6" s="108" t="inlineStr">
        <is>
          <t>2025-12-29</t>
        </is>
      </c>
      <c r="B6" s="108" t="inlineStr">
        <is>
          <t>December</t>
        </is>
      </c>
      <c r="C6" s="108" t="inlineStr">
        <is>
          <t>Emily Davis</t>
        </is>
      </c>
      <c r="D6" s="108" t="inlineStr">
        <is>
          <t>Central</t>
        </is>
      </c>
      <c r="E6" s="108" t="inlineStr">
        <is>
          <t>Product E</t>
        </is>
      </c>
      <c r="F6" s="108" t="inlineStr">
        <is>
          <t>Government</t>
        </is>
      </c>
      <c r="G6" s="109" t="n">
        <v>48</v>
      </c>
      <c r="H6" s="110" t="n">
        <v>1199952</v>
      </c>
      <c r="I6" s="110" t="n">
        <v>1392336</v>
      </c>
      <c r="J6" s="110" t="n">
        <v>1146351</v>
      </c>
      <c r="K6" s="108" t="inlineStr">
        <is>
          <t>In Progress</t>
        </is>
      </c>
      <c r="L6" s="138" t="n">
        <v>104</v>
      </c>
      <c r="M6" s="108" t="inlineStr">
        <is>
          <t>Epsilon Co</t>
        </is>
      </c>
      <c r="N6" s="108" t="inlineStr">
        <is>
          <t>Enterprise (&gt;$200K)</t>
        </is>
      </c>
      <c r="O6" s="108" t="inlineStr">
        <is>
          <t>Website</t>
        </is>
      </c>
      <c r="P6" s="110">
        <f>H6*0.08</f>
        <v/>
      </c>
      <c r="Q6" s="137" t="n">
        <v>0.07000000000000001</v>
      </c>
      <c r="R6" s="108" t="inlineStr">
        <is>
          <t>Q1 deal - Website channel</t>
        </is>
      </c>
    </row>
    <row r="7" ht="15" customHeight="1" s="77">
      <c r="A7" s="117" t="inlineStr">
        <is>
          <t>2025-07-06</t>
        </is>
      </c>
      <c r="B7" s="117" t="inlineStr">
        <is>
          <t>July</t>
        </is>
      </c>
      <c r="C7" s="117" t="inlineStr">
        <is>
          <t>Carlos Ruiz</t>
        </is>
      </c>
      <c r="D7" s="117" t="inlineStr">
        <is>
          <t>International</t>
        </is>
      </c>
      <c r="E7" s="117" t="inlineStr">
        <is>
          <t>Product F</t>
        </is>
      </c>
      <c r="F7" s="117" t="inlineStr">
        <is>
          <t>Enterprise</t>
        </is>
      </c>
      <c r="G7" s="118" t="n">
        <v>28</v>
      </c>
      <c r="H7" s="119" t="n">
        <v>279972</v>
      </c>
      <c r="I7" s="119" t="n">
        <v>303870</v>
      </c>
      <c r="J7" s="119" t="n">
        <v>273570</v>
      </c>
      <c r="K7" s="117" t="inlineStr">
        <is>
          <t>In Progress</t>
        </is>
      </c>
      <c r="L7" s="140" t="n">
        <v>110</v>
      </c>
      <c r="M7" s="117" t="inlineStr">
        <is>
          <t>Zeta Corp</t>
        </is>
      </c>
      <c r="N7" s="117" t="inlineStr">
        <is>
          <t>Enterprise (&gt;$200K)</t>
        </is>
      </c>
      <c r="O7" s="117" t="inlineStr">
        <is>
          <t>Partner</t>
        </is>
      </c>
      <c r="P7" s="119">
        <f>H7*0.08</f>
        <v/>
      </c>
      <c r="Q7" s="139" t="n">
        <v>0.12</v>
      </c>
      <c r="R7" s="117" t="inlineStr">
        <is>
          <t>Q2 deal - Partner channel</t>
        </is>
      </c>
    </row>
    <row r="8" ht="15" customHeight="1" s="77">
      <c r="A8" s="108" t="inlineStr">
        <is>
          <t>2025-03-01</t>
        </is>
      </c>
      <c r="B8" s="108" t="inlineStr">
        <is>
          <t>March</t>
        </is>
      </c>
      <c r="C8" s="108" t="inlineStr">
        <is>
          <t>Lisa Park</t>
        </is>
      </c>
      <c r="D8" s="108" t="inlineStr">
        <is>
          <t>North</t>
        </is>
      </c>
      <c r="E8" s="108" t="inlineStr">
        <is>
          <t>Product G</t>
        </is>
      </c>
      <c r="F8" s="108" t="inlineStr">
        <is>
          <t>SMB</t>
        </is>
      </c>
      <c r="G8" s="109" t="n">
        <v>38</v>
      </c>
      <c r="H8" s="110" t="n">
        <v>189962</v>
      </c>
      <c r="I8" s="110" t="n">
        <v>187317</v>
      </c>
      <c r="J8" s="110" t="n">
        <v>184726</v>
      </c>
      <c r="K8" s="108" t="inlineStr">
        <is>
          <t>Won</t>
        </is>
      </c>
      <c r="L8" s="138" t="n">
        <v>9</v>
      </c>
      <c r="M8" s="108" t="inlineStr">
        <is>
          <t>Eta Inc</t>
        </is>
      </c>
      <c r="N8" s="108" t="inlineStr">
        <is>
          <t>Large ($50K-$200K)</t>
        </is>
      </c>
      <c r="O8" s="108" t="inlineStr">
        <is>
          <t>Email Campaign</t>
        </is>
      </c>
      <c r="P8" s="110">
        <f>H8*0.08</f>
        <v/>
      </c>
      <c r="Q8" s="137" t="n">
        <v>0.02</v>
      </c>
      <c r="R8" s="108" t="inlineStr">
        <is>
          <t>Q3 deal - Email Campaign channel</t>
        </is>
      </c>
    </row>
    <row r="9" ht="15" customHeight="1" s="77">
      <c r="A9" s="117" t="inlineStr">
        <is>
          <t>2025-11-19</t>
        </is>
      </c>
      <c r="B9" s="117" t="inlineStr">
        <is>
          <t>November</t>
        </is>
      </c>
      <c r="C9" s="117" t="inlineStr">
        <is>
          <t>Tom Brown</t>
        </is>
      </c>
      <c r="D9" s="117" t="inlineStr">
        <is>
          <t>West</t>
        </is>
      </c>
      <c r="E9" s="117" t="inlineStr">
        <is>
          <t>Product H</t>
        </is>
      </c>
      <c r="F9" s="117" t="inlineStr">
        <is>
          <t>Mid-Market</t>
        </is>
      </c>
      <c r="G9" s="118" t="n">
        <v>25</v>
      </c>
      <c r="H9" s="119" t="n">
        <v>249975</v>
      </c>
      <c r="I9" s="119" t="n">
        <v>284941</v>
      </c>
      <c r="J9" s="119" t="n">
        <v>254019</v>
      </c>
      <c r="K9" s="117" t="inlineStr">
        <is>
          <t>Won</t>
        </is>
      </c>
      <c r="L9" s="140" t="n">
        <v>78</v>
      </c>
      <c r="M9" s="117" t="inlineStr">
        <is>
          <t>Theta LLC</t>
        </is>
      </c>
      <c r="N9" s="117" t="inlineStr">
        <is>
          <t>Enterprise (&gt;$200K)</t>
        </is>
      </c>
      <c r="O9" s="117" t="inlineStr">
        <is>
          <t>Webinar</t>
        </is>
      </c>
      <c r="P9" s="119">
        <f>H9*0.08</f>
        <v/>
      </c>
      <c r="Q9" s="139" t="n">
        <v>0.01</v>
      </c>
      <c r="R9" s="117" t="inlineStr">
        <is>
          <t>Q4 deal - Webinar channel</t>
        </is>
      </c>
    </row>
    <row r="10" ht="15" customHeight="1" s="77">
      <c r="A10" s="108" t="inlineStr">
        <is>
          <t>2025-05-20</t>
        </is>
      </c>
      <c r="B10" s="108" t="inlineStr">
        <is>
          <t>May</t>
        </is>
      </c>
      <c r="C10" s="108" t="inlineStr">
        <is>
          <t>Anna Schmidt</t>
        </is>
      </c>
      <c r="D10" s="108" t="inlineStr">
        <is>
          <t>East</t>
        </is>
      </c>
      <c r="E10" s="108" t="inlineStr">
        <is>
          <t>Product I</t>
        </is>
      </c>
      <c r="F10" s="108" t="inlineStr">
        <is>
          <t>Startup</t>
        </is>
      </c>
      <c r="G10" s="109" t="n">
        <v>11</v>
      </c>
      <c r="H10" s="110" t="n">
        <v>164989</v>
      </c>
      <c r="I10" s="110" t="n">
        <v>174433</v>
      </c>
      <c r="J10" s="110" t="n">
        <v>150315</v>
      </c>
      <c r="K10" s="108" t="inlineStr">
        <is>
          <t>Won</t>
        </is>
      </c>
      <c r="L10" s="138" t="n">
        <v>83</v>
      </c>
      <c r="M10" s="108" t="inlineStr">
        <is>
          <t>Iota Ltd</t>
        </is>
      </c>
      <c r="N10" s="108" t="inlineStr">
        <is>
          <t>Large ($50K-$200K)</t>
        </is>
      </c>
      <c r="O10" s="108" t="inlineStr">
        <is>
          <t>SEO</t>
        </is>
      </c>
      <c r="P10" s="110">
        <f>H10*0.08</f>
        <v/>
      </c>
      <c r="Q10" s="137" t="n">
        <v>0.12</v>
      </c>
      <c r="R10" s="108" t="inlineStr">
        <is>
          <t>Q1 deal - SEO channel</t>
        </is>
      </c>
    </row>
    <row r="11" ht="15" customHeight="1" s="77">
      <c r="A11" s="117" t="inlineStr">
        <is>
          <t>2025-08-03</t>
        </is>
      </c>
      <c r="B11" s="117" t="inlineStr">
        <is>
          <t>August</t>
        </is>
      </c>
      <c r="C11" s="117" t="inlineStr">
        <is>
          <t>David Kim</t>
        </is>
      </c>
      <c r="D11" s="117" t="inlineStr">
        <is>
          <t>South</t>
        </is>
      </c>
      <c r="E11" s="117" t="inlineStr">
        <is>
          <t>Product J</t>
        </is>
      </c>
      <c r="F11" s="117" t="inlineStr">
        <is>
          <t>Government</t>
        </is>
      </c>
      <c r="G11" s="118" t="n">
        <v>43</v>
      </c>
      <c r="H11" s="119" t="n">
        <v>2149957</v>
      </c>
      <c r="I11" s="119" t="n">
        <v>2571777</v>
      </c>
      <c r="J11" s="119" t="n">
        <v>2100832</v>
      </c>
      <c r="K11" s="117" t="inlineStr">
        <is>
          <t>Won</t>
        </is>
      </c>
      <c r="L11" s="140" t="n">
        <v>84</v>
      </c>
      <c r="M11" s="117" t="inlineStr">
        <is>
          <t>Kappa Co</t>
        </is>
      </c>
      <c r="N11" s="117" t="inlineStr">
        <is>
          <t>Enterprise (&gt;$200K)</t>
        </is>
      </c>
      <c r="O11" s="117" t="inlineStr">
        <is>
          <t>Direct</t>
        </is>
      </c>
      <c r="P11" s="119">
        <f>H11*0.08</f>
        <v/>
      </c>
      <c r="Q11" s="139" t="n">
        <v>0.1</v>
      </c>
      <c r="R11" s="117" t="inlineStr">
        <is>
          <t>Q2 deal - Direct channel</t>
        </is>
      </c>
    </row>
    <row r="12" ht="15" customHeight="1" s="77">
      <c r="A12" s="108" t="inlineStr">
        <is>
          <t>2025-02-25</t>
        </is>
      </c>
      <c r="B12" s="108" t="inlineStr">
        <is>
          <t>February</t>
        </is>
      </c>
      <c r="C12" s="108" t="inlineStr">
        <is>
          <t>Rachel Green</t>
        </is>
      </c>
      <c r="D12" s="108" t="inlineStr">
        <is>
          <t>Central</t>
        </is>
      </c>
      <c r="E12" s="108" t="inlineStr">
        <is>
          <t>Product A</t>
        </is>
      </c>
      <c r="F12" s="108" t="inlineStr">
        <is>
          <t>Enterprise</t>
        </is>
      </c>
      <c r="G12" s="109" t="n">
        <v>7</v>
      </c>
      <c r="H12" s="110" t="n">
        <v>139993</v>
      </c>
      <c r="I12" s="110" t="n">
        <v>139324</v>
      </c>
      <c r="J12" s="110" t="n">
        <v>152111</v>
      </c>
      <c r="K12" s="108" t="inlineStr">
        <is>
          <t>Lost</t>
        </is>
      </c>
      <c r="L12" s="138" t="n">
        <v>28</v>
      </c>
      <c r="M12" s="108" t="inlineStr">
        <is>
          <t>Lambda Corp</t>
        </is>
      </c>
      <c r="N12" s="108" t="inlineStr">
        <is>
          <t>Large ($50K-$200K)</t>
        </is>
      </c>
      <c r="O12" s="108" t="inlineStr">
        <is>
          <t>Referral</t>
        </is>
      </c>
      <c r="P12" s="110">
        <f>H12*0.08</f>
        <v/>
      </c>
      <c r="Q12" s="137" t="n">
        <v>0.03</v>
      </c>
      <c r="R12" s="108" t="inlineStr">
        <is>
          <t>Q3 deal - Referral channel</t>
        </is>
      </c>
    </row>
    <row r="13" ht="15" customHeight="1" s="77">
      <c r="A13" s="117" t="inlineStr">
        <is>
          <t>2025-06-22</t>
        </is>
      </c>
      <c r="B13" s="117" t="inlineStr">
        <is>
          <t>June</t>
        </is>
      </c>
      <c r="C13" s="117" t="inlineStr">
        <is>
          <t>Mark Thompson</t>
        </is>
      </c>
      <c r="D13" s="117" t="inlineStr">
        <is>
          <t>International</t>
        </is>
      </c>
      <c r="E13" s="117" t="inlineStr">
        <is>
          <t>Product B</t>
        </is>
      </c>
      <c r="F13" s="117" t="inlineStr">
        <is>
          <t>SMB</t>
        </is>
      </c>
      <c r="G13" s="118" t="n">
        <v>32</v>
      </c>
      <c r="H13" s="119" t="n">
        <v>159968</v>
      </c>
      <c r="I13" s="119" t="n">
        <v>190340</v>
      </c>
      <c r="J13" s="119" t="n">
        <v>140777</v>
      </c>
      <c r="K13" s="117" t="inlineStr">
        <is>
          <t>In Progress</t>
        </is>
      </c>
      <c r="L13" s="140" t="n">
        <v>37</v>
      </c>
      <c r="M13" s="117" t="inlineStr">
        <is>
          <t>Mu Inc</t>
        </is>
      </c>
      <c r="N13" s="117" t="inlineStr">
        <is>
          <t>Large ($50K-$200K)</t>
        </is>
      </c>
      <c r="O13" s="117" t="inlineStr">
        <is>
          <t>Cold Call</t>
        </is>
      </c>
      <c r="P13" s="119">
        <f>H13*0.08</f>
        <v/>
      </c>
      <c r="Q13" s="139" t="n">
        <v>0.14</v>
      </c>
      <c r="R13" s="117" t="inlineStr">
        <is>
          <t>Q4 deal - Cold Call channel</t>
        </is>
      </c>
    </row>
    <row r="14" ht="15" customHeight="1" s="77">
      <c r="A14" s="108" t="inlineStr">
        <is>
          <t>2025-03-27</t>
        </is>
      </c>
      <c r="B14" s="108" t="inlineStr">
        <is>
          <t>March</t>
        </is>
      </c>
      <c r="C14" s="108" t="inlineStr">
        <is>
          <t>Susan Lee</t>
        </is>
      </c>
      <c r="D14" s="108" t="inlineStr">
        <is>
          <t>North</t>
        </is>
      </c>
      <c r="E14" s="108" t="inlineStr">
        <is>
          <t>Product C</t>
        </is>
      </c>
      <c r="F14" s="108" t="inlineStr">
        <is>
          <t>Mid-Market</t>
        </is>
      </c>
      <c r="G14" s="109" t="n">
        <v>22</v>
      </c>
      <c r="H14" s="110" t="n">
        <v>109978</v>
      </c>
      <c r="I14" s="110" t="n">
        <v>125775</v>
      </c>
      <c r="J14" s="110" t="n">
        <v>98014</v>
      </c>
      <c r="K14" s="108" t="inlineStr">
        <is>
          <t>In Progress</t>
        </is>
      </c>
      <c r="L14" s="138" t="n">
        <v>39</v>
      </c>
      <c r="M14" s="108" t="inlineStr">
        <is>
          <t>Nu LLC</t>
        </is>
      </c>
      <c r="N14" s="108" t="inlineStr">
        <is>
          <t>Large ($50K-$200K)</t>
        </is>
      </c>
      <c r="O14" s="108" t="inlineStr">
        <is>
          <t>LinkedIn</t>
        </is>
      </c>
      <c r="P14" s="110">
        <f>H14*0.08</f>
        <v/>
      </c>
      <c r="Q14" s="137" t="n">
        <v>0.11</v>
      </c>
      <c r="R14" s="108" t="inlineStr">
        <is>
          <t>Q1 deal - LinkedIn channel</t>
        </is>
      </c>
    </row>
    <row r="15" ht="15" customHeight="1" s="77">
      <c r="A15" s="117" t="inlineStr">
        <is>
          <t>2025-01-11</t>
        </is>
      </c>
      <c r="B15" s="117" t="inlineStr">
        <is>
          <t>January</t>
        </is>
      </c>
      <c r="C15" s="117" t="inlineStr">
        <is>
          <t>Kevin Martin</t>
        </is>
      </c>
      <c r="D15" s="117" t="inlineStr">
        <is>
          <t>West</t>
        </is>
      </c>
      <c r="E15" s="117" t="inlineStr">
        <is>
          <t>Product D</t>
        </is>
      </c>
      <c r="F15" s="117" t="inlineStr">
        <is>
          <t>Startup</t>
        </is>
      </c>
      <c r="G15" s="118" t="n">
        <v>42</v>
      </c>
      <c r="H15" s="119" t="n">
        <v>629958</v>
      </c>
      <c r="I15" s="119" t="n">
        <v>636202</v>
      </c>
      <c r="J15" s="119" t="n">
        <v>638347</v>
      </c>
      <c r="K15" s="117" t="inlineStr">
        <is>
          <t>Won</t>
        </is>
      </c>
      <c r="L15" s="140" t="n">
        <v>24</v>
      </c>
      <c r="M15" s="117" t="inlineStr">
        <is>
          <t>Xi Ltd</t>
        </is>
      </c>
      <c r="N15" s="117" t="inlineStr">
        <is>
          <t>Enterprise (&gt;$200K)</t>
        </is>
      </c>
      <c r="O15" s="117" t="inlineStr">
        <is>
          <t>Trade Show</t>
        </is>
      </c>
      <c r="P15" s="119">
        <f>H15*0.08</f>
        <v/>
      </c>
      <c r="Q15" s="139" t="n">
        <v>0.13</v>
      </c>
      <c r="R15" s="117" t="inlineStr">
        <is>
          <t>Q2 deal - Trade Show channel</t>
        </is>
      </c>
    </row>
    <row r="16" ht="15" customHeight="1" s="77">
      <c r="A16" s="108" t="inlineStr">
        <is>
          <t>2025-09-22</t>
        </is>
      </c>
      <c r="B16" s="108" t="inlineStr">
        <is>
          <t>September</t>
        </is>
      </c>
      <c r="C16" s="108" t="inlineStr">
        <is>
          <t>Nina Patel</t>
        </is>
      </c>
      <c r="D16" s="108" t="inlineStr">
        <is>
          <t>East</t>
        </is>
      </c>
      <c r="E16" s="108" t="inlineStr">
        <is>
          <t>Product E</t>
        </is>
      </c>
      <c r="F16" s="108" t="inlineStr">
        <is>
          <t>Government</t>
        </is>
      </c>
      <c r="G16" s="109" t="n">
        <v>21</v>
      </c>
      <c r="H16" s="110" t="n">
        <v>104979</v>
      </c>
      <c r="I16" s="110" t="n">
        <v>121506</v>
      </c>
      <c r="J16" s="110" t="n">
        <v>95893</v>
      </c>
      <c r="K16" s="108" t="inlineStr">
        <is>
          <t>Won</t>
        </is>
      </c>
      <c r="L16" s="138" t="n">
        <v>88</v>
      </c>
      <c r="M16" s="108" t="inlineStr">
        <is>
          <t>Pi Co</t>
        </is>
      </c>
      <c r="N16" s="108" t="inlineStr">
        <is>
          <t>Large ($50K-$200K)</t>
        </is>
      </c>
      <c r="O16" s="108" t="inlineStr">
        <is>
          <t>Website</t>
        </is>
      </c>
      <c r="P16" s="110">
        <f>H16*0.08</f>
        <v/>
      </c>
      <c r="Q16" s="137" t="n">
        <v>0.11</v>
      </c>
      <c r="R16" s="108" t="inlineStr">
        <is>
          <t>Q3 deal - Website channel</t>
        </is>
      </c>
    </row>
    <row r="17" ht="15" customHeight="1" s="77">
      <c r="A17" s="117" t="inlineStr">
        <is>
          <t>2025-11-20</t>
        </is>
      </c>
      <c r="B17" s="117" t="inlineStr">
        <is>
          <t>November</t>
        </is>
      </c>
      <c r="C17" s="117" t="inlineStr">
        <is>
          <t>Chris Wilson</t>
        </is>
      </c>
      <c r="D17" s="117" t="inlineStr">
        <is>
          <t>South</t>
        </is>
      </c>
      <c r="E17" s="117" t="inlineStr">
        <is>
          <t>Product F</t>
        </is>
      </c>
      <c r="F17" s="117" t="inlineStr">
        <is>
          <t>Enterprise</t>
        </is>
      </c>
      <c r="G17" s="118" t="n">
        <v>10</v>
      </c>
      <c r="H17" s="119" t="n">
        <v>49990</v>
      </c>
      <c r="I17" s="119" t="n">
        <v>54844</v>
      </c>
      <c r="J17" s="119" t="n">
        <v>44194</v>
      </c>
      <c r="K17" s="117" t="inlineStr">
        <is>
          <t>Won</t>
        </is>
      </c>
      <c r="L17" s="140" t="n">
        <v>109</v>
      </c>
      <c r="M17" s="117" t="inlineStr">
        <is>
          <t>Rho Corp</t>
        </is>
      </c>
      <c r="N17" s="117" t="inlineStr">
        <is>
          <t>Medium ($10K-$50K)</t>
        </is>
      </c>
      <c r="O17" s="117" t="inlineStr">
        <is>
          <t>Partner</t>
        </is>
      </c>
      <c r="P17" s="119">
        <f>H17*0.08</f>
        <v/>
      </c>
      <c r="Q17" s="139" t="n">
        <v>0.03</v>
      </c>
      <c r="R17" s="117" t="inlineStr">
        <is>
          <t>Q4 deal - Partner channel</t>
        </is>
      </c>
    </row>
    <row r="18" ht="15" customHeight="1" s="77">
      <c r="A18" s="108" t="inlineStr">
        <is>
          <t>2025-02-28</t>
        </is>
      </c>
      <c r="B18" s="108" t="inlineStr">
        <is>
          <t>February</t>
        </is>
      </c>
      <c r="C18" s="108" t="inlineStr">
        <is>
          <t>Amanda Foster</t>
        </is>
      </c>
      <c r="D18" s="108" t="inlineStr">
        <is>
          <t>Central</t>
        </is>
      </c>
      <c r="E18" s="108" t="inlineStr">
        <is>
          <t>Product G</t>
        </is>
      </c>
      <c r="F18" s="108" t="inlineStr">
        <is>
          <t>SMB</t>
        </is>
      </c>
      <c r="G18" s="109" t="n">
        <v>4</v>
      </c>
      <c r="H18" s="110" t="n">
        <v>59996</v>
      </c>
      <c r="I18" s="110" t="n">
        <v>54569</v>
      </c>
      <c r="J18" s="110" t="n">
        <v>60922</v>
      </c>
      <c r="K18" s="108" t="inlineStr">
        <is>
          <t>Won</t>
        </is>
      </c>
      <c r="L18" s="138" t="n">
        <v>45</v>
      </c>
      <c r="M18" s="108" t="inlineStr">
        <is>
          <t>Sigma Inc</t>
        </is>
      </c>
      <c r="N18" s="108" t="inlineStr">
        <is>
          <t>Large ($50K-$200K)</t>
        </is>
      </c>
      <c r="O18" s="108" t="inlineStr">
        <is>
          <t>Email Campaign</t>
        </is>
      </c>
      <c r="P18" s="110">
        <f>H18*0.08</f>
        <v/>
      </c>
      <c r="Q18" s="137" t="n">
        <v>0.1</v>
      </c>
      <c r="R18" s="108" t="inlineStr">
        <is>
          <t>Q1 deal - Email Campaign channel</t>
        </is>
      </c>
    </row>
    <row r="19" ht="15" customHeight="1" s="77">
      <c r="A19" s="117" t="inlineStr">
        <is>
          <t>2025-07-19</t>
        </is>
      </c>
      <c r="B19" s="117" t="inlineStr">
        <is>
          <t>July</t>
        </is>
      </c>
      <c r="C19" s="117" t="inlineStr">
        <is>
          <t>Robert Taylor</t>
        </is>
      </c>
      <c r="D19" s="117" t="inlineStr">
        <is>
          <t>International</t>
        </is>
      </c>
      <c r="E19" s="117" t="inlineStr">
        <is>
          <t>Product H</t>
        </is>
      </c>
      <c r="F19" s="117" t="inlineStr">
        <is>
          <t>Mid-Market</t>
        </is>
      </c>
      <c r="G19" s="118" t="n">
        <v>7</v>
      </c>
      <c r="H19" s="119" t="n">
        <v>209993</v>
      </c>
      <c r="I19" s="119" t="n">
        <v>213995</v>
      </c>
      <c r="J19" s="119" t="n">
        <v>203318</v>
      </c>
      <c r="K19" s="117" t="inlineStr">
        <is>
          <t>Lost</t>
        </is>
      </c>
      <c r="L19" s="140" t="n">
        <v>12</v>
      </c>
      <c r="M19" s="117" t="inlineStr">
        <is>
          <t>Tau LLC</t>
        </is>
      </c>
      <c r="N19" s="117" t="inlineStr">
        <is>
          <t>Enterprise (&gt;$200K)</t>
        </is>
      </c>
      <c r="O19" s="117" t="inlineStr">
        <is>
          <t>Webinar</t>
        </is>
      </c>
      <c r="P19" s="119">
        <f>H19*0.08</f>
        <v/>
      </c>
      <c r="Q19" s="139" t="n">
        <v>0.1</v>
      </c>
      <c r="R19" s="117" t="inlineStr">
        <is>
          <t>Q2 deal - Webinar channel</t>
        </is>
      </c>
    </row>
    <row r="20" ht="15" customHeight="1" s="77">
      <c r="A20" s="108" t="inlineStr">
        <is>
          <t>2025-06-29</t>
        </is>
      </c>
      <c r="B20" s="108" t="inlineStr">
        <is>
          <t>June</t>
        </is>
      </c>
      <c r="C20" s="108" t="inlineStr">
        <is>
          <t>Jennifer Moore</t>
        </is>
      </c>
      <c r="D20" s="108" t="inlineStr">
        <is>
          <t>North</t>
        </is>
      </c>
      <c r="E20" s="108" t="inlineStr">
        <is>
          <t>Product I</t>
        </is>
      </c>
      <c r="F20" s="108" t="inlineStr">
        <is>
          <t>Startup</t>
        </is>
      </c>
      <c r="G20" s="109" t="n">
        <v>4</v>
      </c>
      <c r="H20" s="110" t="n">
        <v>199996</v>
      </c>
      <c r="I20" s="110" t="n">
        <v>237085</v>
      </c>
      <c r="J20" s="110" t="n">
        <v>178347</v>
      </c>
      <c r="K20" s="108" t="inlineStr">
        <is>
          <t>In Progress</t>
        </is>
      </c>
      <c r="L20" s="138" t="n">
        <v>24</v>
      </c>
      <c r="M20" s="108" t="inlineStr">
        <is>
          <t>Upsilon Ltd</t>
        </is>
      </c>
      <c r="N20" s="108" t="inlineStr">
        <is>
          <t>Large ($50K-$200K)</t>
        </is>
      </c>
      <c r="O20" s="108" t="inlineStr">
        <is>
          <t>SEO</t>
        </is>
      </c>
      <c r="P20" s="110">
        <f>H20*0.08</f>
        <v/>
      </c>
      <c r="Q20" s="137" t="n">
        <v>0.09</v>
      </c>
      <c r="R20" s="108" t="inlineStr">
        <is>
          <t>Q3 deal - SEO channel</t>
        </is>
      </c>
    </row>
    <row r="21" ht="15" customHeight="1" s="77">
      <c r="A21" s="117" t="inlineStr">
        <is>
          <t>2025-11-21</t>
        </is>
      </c>
      <c r="B21" s="117" t="inlineStr">
        <is>
          <t>November</t>
        </is>
      </c>
      <c r="C21" s="117" t="inlineStr">
        <is>
          <t>Daniel Jackson</t>
        </is>
      </c>
      <c r="D21" s="117" t="inlineStr">
        <is>
          <t>West</t>
        </is>
      </c>
      <c r="E21" s="117" t="inlineStr">
        <is>
          <t>Product J</t>
        </is>
      </c>
      <c r="F21" s="117" t="inlineStr">
        <is>
          <t>Government</t>
        </is>
      </c>
      <c r="G21" s="118" t="n">
        <v>48</v>
      </c>
      <c r="H21" s="119" t="n">
        <v>959952</v>
      </c>
      <c r="I21" s="119" t="n">
        <v>997929</v>
      </c>
      <c r="J21" s="119" t="n">
        <v>1028131</v>
      </c>
      <c r="K21" s="117" t="inlineStr">
        <is>
          <t>In Progress</t>
        </is>
      </c>
      <c r="L21" s="140" t="n">
        <v>55</v>
      </c>
      <c r="M21" s="117" t="inlineStr">
        <is>
          <t>Phi Co</t>
        </is>
      </c>
      <c r="N21" s="117" t="inlineStr">
        <is>
          <t>Enterprise (&gt;$200K)</t>
        </is>
      </c>
      <c r="O21" s="117" t="inlineStr">
        <is>
          <t>Direct</t>
        </is>
      </c>
      <c r="P21" s="119">
        <f>H21*0.08</f>
        <v/>
      </c>
      <c r="Q21" s="139" t="n">
        <v>0</v>
      </c>
      <c r="R21" s="117" t="inlineStr">
        <is>
          <t>Q4 deal - Direct channel</t>
        </is>
      </c>
    </row>
    <row r="22" ht="15" customHeight="1" s="77">
      <c r="A22" s="108" t="inlineStr">
        <is>
          <t>2025-01-24</t>
        </is>
      </c>
      <c r="B22" s="108" t="inlineStr">
        <is>
          <t>January</t>
        </is>
      </c>
      <c r="C22" s="108" t="inlineStr">
        <is>
          <t>Sarah Johnson</t>
        </is>
      </c>
      <c r="D22" s="108" t="inlineStr">
        <is>
          <t>North</t>
        </is>
      </c>
      <c r="E22" s="108" t="inlineStr">
        <is>
          <t>Product A</t>
        </is>
      </c>
      <c r="F22" s="108" t="inlineStr">
        <is>
          <t>Enterprise</t>
        </is>
      </c>
      <c r="G22" s="109" t="n">
        <v>40</v>
      </c>
      <c r="H22" s="110" t="n">
        <v>199960</v>
      </c>
      <c r="I22" s="110" t="n">
        <v>201902</v>
      </c>
      <c r="J22" s="110" t="n">
        <v>192153</v>
      </c>
      <c r="K22" s="108" t="inlineStr">
        <is>
          <t>Won</t>
        </is>
      </c>
      <c r="L22" s="138" t="n">
        <v>54</v>
      </c>
      <c r="M22" s="108" t="inlineStr">
        <is>
          <t>Acme Corp</t>
        </is>
      </c>
      <c r="N22" s="108" t="inlineStr">
        <is>
          <t>Large ($50K-$200K)</t>
        </is>
      </c>
      <c r="O22" s="108" t="inlineStr">
        <is>
          <t>Referral</t>
        </is>
      </c>
      <c r="P22" s="110">
        <f>H22*0.08</f>
        <v/>
      </c>
      <c r="Q22" s="137" t="n">
        <v>0.08</v>
      </c>
      <c r="R22" s="108" t="inlineStr">
        <is>
          <t>Q1 deal - Referral channel</t>
        </is>
      </c>
    </row>
    <row r="23" ht="15" customHeight="1" s="77">
      <c r="A23" s="117" t="inlineStr">
        <is>
          <t>2025-06-30</t>
        </is>
      </c>
      <c r="B23" s="117" t="inlineStr">
        <is>
          <t>June</t>
        </is>
      </c>
      <c r="C23" s="117" t="inlineStr">
        <is>
          <t>Mike Chen</t>
        </is>
      </c>
      <c r="D23" s="117" t="inlineStr">
        <is>
          <t>West</t>
        </is>
      </c>
      <c r="E23" s="117" t="inlineStr">
        <is>
          <t>Product B</t>
        </is>
      </c>
      <c r="F23" s="117" t="inlineStr">
        <is>
          <t>SMB</t>
        </is>
      </c>
      <c r="G23" s="118" t="n">
        <v>48</v>
      </c>
      <c r="H23" s="119" t="n">
        <v>239952</v>
      </c>
      <c r="I23" s="119" t="n">
        <v>251720</v>
      </c>
      <c r="J23" s="119" t="n">
        <v>224030</v>
      </c>
      <c r="K23" s="117" t="inlineStr">
        <is>
          <t>Won</t>
        </is>
      </c>
      <c r="L23" s="140" t="n">
        <v>11</v>
      </c>
      <c r="M23" s="117" t="inlineStr">
        <is>
          <t>Beta Inc</t>
        </is>
      </c>
      <c r="N23" s="117" t="inlineStr">
        <is>
          <t>Enterprise (&gt;$200K)</t>
        </is>
      </c>
      <c r="O23" s="117" t="inlineStr">
        <is>
          <t>Cold Call</t>
        </is>
      </c>
      <c r="P23" s="119">
        <f>H23*0.08</f>
        <v/>
      </c>
      <c r="Q23" s="139" t="n">
        <v>0.05</v>
      </c>
      <c r="R23" s="117" t="inlineStr">
        <is>
          <t>Q2 deal - Cold Call channel</t>
        </is>
      </c>
    </row>
    <row r="24" ht="15" customHeight="1" s="77">
      <c r="A24" s="108" t="inlineStr">
        <is>
          <t>2025-05-21</t>
        </is>
      </c>
      <c r="B24" s="108" t="inlineStr">
        <is>
          <t>May</t>
        </is>
      </c>
      <c r="C24" s="108" t="inlineStr">
        <is>
          <t>Priya Sharma</t>
        </is>
      </c>
      <c r="D24" s="108" t="inlineStr">
        <is>
          <t>East</t>
        </is>
      </c>
      <c r="E24" s="108" t="inlineStr">
        <is>
          <t>Product C</t>
        </is>
      </c>
      <c r="F24" s="108" t="inlineStr">
        <is>
          <t>Mid-Market</t>
        </is>
      </c>
      <c r="G24" s="109" t="n">
        <v>36</v>
      </c>
      <c r="H24" s="110" t="n">
        <v>287964</v>
      </c>
      <c r="I24" s="110" t="n">
        <v>302672</v>
      </c>
      <c r="J24" s="110" t="n">
        <v>263889</v>
      </c>
      <c r="K24" s="108" t="inlineStr">
        <is>
          <t>Won</t>
        </is>
      </c>
      <c r="L24" s="138" t="n">
        <v>59</v>
      </c>
      <c r="M24" s="108" t="inlineStr">
        <is>
          <t>Gamma LLC</t>
        </is>
      </c>
      <c r="N24" s="108" t="inlineStr">
        <is>
          <t>Enterprise (&gt;$200K)</t>
        </is>
      </c>
      <c r="O24" s="108" t="inlineStr">
        <is>
          <t>LinkedIn</t>
        </is>
      </c>
      <c r="P24" s="110">
        <f>H24*0.08</f>
        <v/>
      </c>
      <c r="Q24" s="137" t="n">
        <v>0.15</v>
      </c>
      <c r="R24" s="108" t="inlineStr">
        <is>
          <t>Q3 deal - LinkedIn channel</t>
        </is>
      </c>
    </row>
    <row r="25" ht="15" customHeight="1" s="77">
      <c r="A25" s="117" t="inlineStr">
        <is>
          <t>2025-07-20</t>
        </is>
      </c>
      <c r="B25" s="117" t="inlineStr">
        <is>
          <t>July</t>
        </is>
      </c>
      <c r="C25" s="117" t="inlineStr">
        <is>
          <t>James Williams</t>
        </is>
      </c>
      <c r="D25" s="117" t="inlineStr">
        <is>
          <t>South</t>
        </is>
      </c>
      <c r="E25" s="117" t="inlineStr">
        <is>
          <t>Product D</t>
        </is>
      </c>
      <c r="F25" s="117" t="inlineStr">
        <is>
          <t>Startup</t>
        </is>
      </c>
      <c r="G25" s="118" t="n">
        <v>4</v>
      </c>
      <c r="H25" s="119" t="n">
        <v>59996</v>
      </c>
      <c r="I25" s="119" t="n">
        <v>61802</v>
      </c>
      <c r="J25" s="119" t="n">
        <v>65241</v>
      </c>
      <c r="K25" s="117" t="inlineStr">
        <is>
          <t>Won</t>
        </is>
      </c>
      <c r="L25" s="140" t="n">
        <v>45</v>
      </c>
      <c r="M25" s="117" t="inlineStr">
        <is>
          <t>Delta Ltd</t>
        </is>
      </c>
      <c r="N25" s="117" t="inlineStr">
        <is>
          <t>Large ($50K-$200K)</t>
        </is>
      </c>
      <c r="O25" s="117" t="inlineStr">
        <is>
          <t>Trade Show</t>
        </is>
      </c>
      <c r="P25" s="119">
        <f>H25*0.08</f>
        <v/>
      </c>
      <c r="Q25" s="139" t="n">
        <v>0.03</v>
      </c>
      <c r="R25" s="117" t="inlineStr">
        <is>
          <t>Q4 deal - Trade Show channel</t>
        </is>
      </c>
    </row>
    <row r="26" ht="15" customHeight="1" s="77">
      <c r="A26" s="108" t="inlineStr">
        <is>
          <t>2025-08-30</t>
        </is>
      </c>
      <c r="B26" s="108" t="inlineStr">
        <is>
          <t>August</t>
        </is>
      </c>
      <c r="C26" s="108" t="inlineStr">
        <is>
          <t>Emily Davis</t>
        </is>
      </c>
      <c r="D26" s="108" t="inlineStr">
        <is>
          <t>Central</t>
        </is>
      </c>
      <c r="E26" s="108" t="inlineStr">
        <is>
          <t>Product E</t>
        </is>
      </c>
      <c r="F26" s="108" t="inlineStr">
        <is>
          <t>Government</t>
        </is>
      </c>
      <c r="G26" s="109" t="n">
        <v>30</v>
      </c>
      <c r="H26" s="110" t="n">
        <v>149970</v>
      </c>
      <c r="I26" s="110" t="n">
        <v>179935</v>
      </c>
      <c r="J26" s="110" t="n">
        <v>147032</v>
      </c>
      <c r="K26" s="108" t="inlineStr">
        <is>
          <t>Lost</t>
        </is>
      </c>
      <c r="L26" s="138" t="n">
        <v>73</v>
      </c>
      <c r="M26" s="108" t="inlineStr">
        <is>
          <t>Epsilon Co</t>
        </is>
      </c>
      <c r="N26" s="108" t="inlineStr">
        <is>
          <t>Large ($50K-$200K)</t>
        </is>
      </c>
      <c r="O26" s="108" t="inlineStr">
        <is>
          <t>Website</t>
        </is>
      </c>
      <c r="P26" s="110">
        <f>H26*0.08</f>
        <v/>
      </c>
      <c r="Q26" s="137" t="n">
        <v>0.11</v>
      </c>
      <c r="R26" s="108" t="inlineStr">
        <is>
          <t>Q1 deal - Website channel</t>
        </is>
      </c>
    </row>
    <row r="27" ht="15" customHeight="1" s="77">
      <c r="A27" s="117" t="inlineStr">
        <is>
          <t>2025-11-15</t>
        </is>
      </c>
      <c r="B27" s="117" t="inlineStr">
        <is>
          <t>November</t>
        </is>
      </c>
      <c r="C27" s="117" t="inlineStr">
        <is>
          <t>Carlos Ruiz</t>
        </is>
      </c>
      <c r="D27" s="117" t="inlineStr">
        <is>
          <t>International</t>
        </is>
      </c>
      <c r="E27" s="117" t="inlineStr">
        <is>
          <t>Product F</t>
        </is>
      </c>
      <c r="F27" s="117" t="inlineStr">
        <is>
          <t>Enterprise</t>
        </is>
      </c>
      <c r="G27" s="118" t="n">
        <v>22</v>
      </c>
      <c r="H27" s="119" t="n">
        <v>549978</v>
      </c>
      <c r="I27" s="119" t="n">
        <v>560153</v>
      </c>
      <c r="J27" s="119" t="n">
        <v>578869</v>
      </c>
      <c r="K27" s="117" t="inlineStr">
        <is>
          <t>In Progress</t>
        </is>
      </c>
      <c r="L27" s="140" t="n">
        <v>75</v>
      </c>
      <c r="M27" s="117" t="inlineStr">
        <is>
          <t>Zeta Corp</t>
        </is>
      </c>
      <c r="N27" s="117" t="inlineStr">
        <is>
          <t>Enterprise (&gt;$200K)</t>
        </is>
      </c>
      <c r="O27" s="117" t="inlineStr">
        <is>
          <t>Partner</t>
        </is>
      </c>
      <c r="P27" s="119">
        <f>H27*0.08</f>
        <v/>
      </c>
      <c r="Q27" s="139" t="n">
        <v>0.07000000000000001</v>
      </c>
      <c r="R27" s="117" t="inlineStr">
        <is>
          <t>Q2 deal - Partner channel</t>
        </is>
      </c>
    </row>
    <row r="28" ht="15" customHeight="1" s="77">
      <c r="A28" s="108" t="inlineStr">
        <is>
          <t>2025-06-17</t>
        </is>
      </c>
      <c r="B28" s="108" t="inlineStr">
        <is>
          <t>June</t>
        </is>
      </c>
      <c r="C28" s="108" t="inlineStr">
        <is>
          <t>Lisa Park</t>
        </is>
      </c>
      <c r="D28" s="108" t="inlineStr">
        <is>
          <t>North</t>
        </is>
      </c>
      <c r="E28" s="108" t="inlineStr">
        <is>
          <t>Product G</t>
        </is>
      </c>
      <c r="F28" s="108" t="inlineStr">
        <is>
          <t>SMB</t>
        </is>
      </c>
      <c r="G28" s="109" t="n">
        <v>44</v>
      </c>
      <c r="H28" s="110" t="n">
        <v>1319956</v>
      </c>
      <c r="I28" s="110" t="n">
        <v>1384241</v>
      </c>
      <c r="J28" s="110" t="n">
        <v>1443054</v>
      </c>
      <c r="K28" s="108" t="inlineStr">
        <is>
          <t>In Progress</t>
        </is>
      </c>
      <c r="L28" s="138" t="n">
        <v>47</v>
      </c>
      <c r="M28" s="108" t="inlineStr">
        <is>
          <t>Eta Inc</t>
        </is>
      </c>
      <c r="N28" s="108" t="inlineStr">
        <is>
          <t>Enterprise (&gt;$200K)</t>
        </is>
      </c>
      <c r="O28" s="108" t="inlineStr">
        <is>
          <t>Email Campaign</t>
        </is>
      </c>
      <c r="P28" s="110">
        <f>H28*0.08</f>
        <v/>
      </c>
      <c r="Q28" s="137" t="n">
        <v>0.05</v>
      </c>
      <c r="R28" s="108" t="inlineStr">
        <is>
          <t>Q3 deal - Email Campaign channel</t>
        </is>
      </c>
    </row>
    <row r="29" ht="15" customHeight="1" s="77">
      <c r="A29" s="117" t="inlineStr">
        <is>
          <t>2025-03-11</t>
        </is>
      </c>
      <c r="B29" s="117" t="inlineStr">
        <is>
          <t>March</t>
        </is>
      </c>
      <c r="C29" s="117" t="inlineStr">
        <is>
          <t>Tom Brown</t>
        </is>
      </c>
      <c r="D29" s="117" t="inlineStr">
        <is>
          <t>West</t>
        </is>
      </c>
      <c r="E29" s="117" t="inlineStr">
        <is>
          <t>Product H</t>
        </is>
      </c>
      <c r="F29" s="117" t="inlineStr">
        <is>
          <t>Mid-Market</t>
        </is>
      </c>
      <c r="G29" s="118" t="n">
        <v>28</v>
      </c>
      <c r="H29" s="119" t="n">
        <v>1399972</v>
      </c>
      <c r="I29" s="119" t="n">
        <v>1493515</v>
      </c>
      <c r="J29" s="119" t="n">
        <v>1452424</v>
      </c>
      <c r="K29" s="117" t="inlineStr">
        <is>
          <t>Won</t>
        </is>
      </c>
      <c r="L29" s="140" t="n">
        <v>11</v>
      </c>
      <c r="M29" s="117" t="inlineStr">
        <is>
          <t>Theta LLC</t>
        </is>
      </c>
      <c r="N29" s="117" t="inlineStr">
        <is>
          <t>Enterprise (&gt;$200K)</t>
        </is>
      </c>
      <c r="O29" s="117" t="inlineStr">
        <is>
          <t>Webinar</t>
        </is>
      </c>
      <c r="P29" s="119">
        <f>H29*0.08</f>
        <v/>
      </c>
      <c r="Q29" s="139" t="n">
        <v>0.14</v>
      </c>
      <c r="R29" s="117" t="inlineStr">
        <is>
          <t>Q4 deal - Webinar channel</t>
        </is>
      </c>
    </row>
    <row r="30" ht="15" customHeight="1" s="77">
      <c r="A30" s="108" t="inlineStr">
        <is>
          <t>2025-12-26</t>
        </is>
      </c>
      <c r="B30" s="108" t="inlineStr">
        <is>
          <t>December</t>
        </is>
      </c>
      <c r="C30" s="108" t="inlineStr">
        <is>
          <t>Anna Schmidt</t>
        </is>
      </c>
      <c r="D30" s="108" t="inlineStr">
        <is>
          <t>East</t>
        </is>
      </c>
      <c r="E30" s="108" t="inlineStr">
        <is>
          <t>Product I</t>
        </is>
      </c>
      <c r="F30" s="108" t="inlineStr">
        <is>
          <t>Startup</t>
        </is>
      </c>
      <c r="G30" s="109" t="n">
        <v>20</v>
      </c>
      <c r="H30" s="110" t="n">
        <v>159980</v>
      </c>
      <c r="I30" s="110" t="n">
        <v>183421</v>
      </c>
      <c r="J30" s="110" t="n">
        <v>174467</v>
      </c>
      <c r="K30" s="108" t="inlineStr">
        <is>
          <t>Won</t>
        </is>
      </c>
      <c r="L30" s="138" t="n">
        <v>50</v>
      </c>
      <c r="M30" s="108" t="inlineStr">
        <is>
          <t>Iota Ltd</t>
        </is>
      </c>
      <c r="N30" s="108" t="inlineStr">
        <is>
          <t>Large ($50K-$200K)</t>
        </is>
      </c>
      <c r="O30" s="108" t="inlineStr">
        <is>
          <t>SEO</t>
        </is>
      </c>
      <c r="P30" s="110">
        <f>H30*0.08</f>
        <v/>
      </c>
      <c r="Q30" s="137" t="n">
        <v>0.11</v>
      </c>
      <c r="R30" s="108" t="inlineStr">
        <is>
          <t>Q1 deal - SEO channel</t>
        </is>
      </c>
    </row>
    <row r="31" ht="15" customHeight="1" s="77">
      <c r="A31" s="117" t="inlineStr">
        <is>
          <t>2025-02-22</t>
        </is>
      </c>
      <c r="B31" s="117" t="inlineStr">
        <is>
          <t>February</t>
        </is>
      </c>
      <c r="C31" s="117" t="inlineStr">
        <is>
          <t>David Kim</t>
        </is>
      </c>
      <c r="D31" s="117" t="inlineStr">
        <is>
          <t>South</t>
        </is>
      </c>
      <c r="E31" s="117" t="inlineStr">
        <is>
          <t>Product J</t>
        </is>
      </c>
      <c r="F31" s="117" t="inlineStr">
        <is>
          <t>Government</t>
        </is>
      </c>
      <c r="G31" s="118" t="n">
        <v>5</v>
      </c>
      <c r="H31" s="119" t="n">
        <v>49995</v>
      </c>
      <c r="I31" s="119" t="n">
        <v>51889</v>
      </c>
      <c r="J31" s="119" t="n">
        <v>53376</v>
      </c>
      <c r="K31" s="117" t="inlineStr">
        <is>
          <t>Won</t>
        </is>
      </c>
      <c r="L31" s="140" t="n">
        <v>100</v>
      </c>
      <c r="M31" s="117" t="inlineStr">
        <is>
          <t>Kappa Co</t>
        </is>
      </c>
      <c r="N31" s="117" t="inlineStr">
        <is>
          <t>Medium ($10K-$50K)</t>
        </is>
      </c>
      <c r="O31" s="117" t="inlineStr">
        <is>
          <t>Direct</t>
        </is>
      </c>
      <c r="P31" s="119">
        <f>H31*0.08</f>
        <v/>
      </c>
      <c r="Q31" s="139" t="n">
        <v>0.03</v>
      </c>
      <c r="R31" s="117" t="inlineStr">
        <is>
          <t>Q2 deal - Direct channel</t>
        </is>
      </c>
    </row>
    <row r="32" ht="15" customHeight="1" s="77">
      <c r="A32" s="108" t="inlineStr">
        <is>
          <t>2025-05-02</t>
        </is>
      </c>
      <c r="B32" s="108" t="inlineStr">
        <is>
          <t>May</t>
        </is>
      </c>
      <c r="C32" s="108" t="inlineStr">
        <is>
          <t>Rachel Green</t>
        </is>
      </c>
      <c r="D32" s="108" t="inlineStr">
        <is>
          <t>Central</t>
        </is>
      </c>
      <c r="E32" s="108" t="inlineStr">
        <is>
          <t>Product A</t>
        </is>
      </c>
      <c r="F32" s="108" t="inlineStr">
        <is>
          <t>Enterprise</t>
        </is>
      </c>
      <c r="G32" s="109" t="n">
        <v>28</v>
      </c>
      <c r="H32" s="110" t="n">
        <v>419972</v>
      </c>
      <c r="I32" s="110" t="n">
        <v>380981</v>
      </c>
      <c r="J32" s="110" t="n">
        <v>459732</v>
      </c>
      <c r="K32" s="108" t="inlineStr">
        <is>
          <t>Won</t>
        </is>
      </c>
      <c r="L32" s="138" t="n">
        <v>14</v>
      </c>
      <c r="M32" s="108" t="inlineStr">
        <is>
          <t>Lambda Corp</t>
        </is>
      </c>
      <c r="N32" s="108" t="inlineStr">
        <is>
          <t>Enterprise (&gt;$200K)</t>
        </is>
      </c>
      <c r="O32" s="108" t="inlineStr">
        <is>
          <t>Referral</t>
        </is>
      </c>
      <c r="P32" s="110">
        <f>H32*0.08</f>
        <v/>
      </c>
      <c r="Q32" s="137" t="n">
        <v>0.08</v>
      </c>
      <c r="R32" s="108" t="inlineStr">
        <is>
          <t>Q3 deal - Referral channel</t>
        </is>
      </c>
    </row>
    <row r="33" ht="15" customHeight="1" s="77">
      <c r="A33" s="117" t="inlineStr">
        <is>
          <t>2025-02-21</t>
        </is>
      </c>
      <c r="B33" s="117" t="inlineStr">
        <is>
          <t>February</t>
        </is>
      </c>
      <c r="C33" s="117" t="inlineStr">
        <is>
          <t>Mark Thompson</t>
        </is>
      </c>
      <c r="D33" s="117" t="inlineStr">
        <is>
          <t>International</t>
        </is>
      </c>
      <c r="E33" s="117" t="inlineStr">
        <is>
          <t>Product B</t>
        </is>
      </c>
      <c r="F33" s="117" t="inlineStr">
        <is>
          <t>SMB</t>
        </is>
      </c>
      <c r="G33" s="118" t="n">
        <v>31</v>
      </c>
      <c r="H33" s="119" t="n">
        <v>464969</v>
      </c>
      <c r="I33" s="119" t="n">
        <v>489319</v>
      </c>
      <c r="J33" s="119" t="n">
        <v>416888</v>
      </c>
      <c r="K33" s="117" t="inlineStr">
        <is>
          <t>Lost</t>
        </is>
      </c>
      <c r="L33" s="140" t="n">
        <v>101</v>
      </c>
      <c r="M33" s="117" t="inlineStr">
        <is>
          <t>Mu Inc</t>
        </is>
      </c>
      <c r="N33" s="117" t="inlineStr">
        <is>
          <t>Enterprise (&gt;$200K)</t>
        </is>
      </c>
      <c r="O33" s="117" t="inlineStr">
        <is>
          <t>Cold Call</t>
        </is>
      </c>
      <c r="P33" s="119">
        <f>H33*0.08</f>
        <v/>
      </c>
      <c r="Q33" s="139" t="n">
        <v>0.04</v>
      </c>
      <c r="R33" s="117" t="inlineStr">
        <is>
          <t>Q4 deal - Cold Call channel</t>
        </is>
      </c>
    </row>
    <row r="34" ht="15" customHeight="1" s="77">
      <c r="A34" s="108" t="inlineStr">
        <is>
          <t>2025-05-02</t>
        </is>
      </c>
      <c r="B34" s="108" t="inlineStr">
        <is>
          <t>May</t>
        </is>
      </c>
      <c r="C34" s="108" t="inlineStr">
        <is>
          <t>Susan Lee</t>
        </is>
      </c>
      <c r="D34" s="108" t="inlineStr">
        <is>
          <t>North</t>
        </is>
      </c>
      <c r="E34" s="108" t="inlineStr">
        <is>
          <t>Product C</t>
        </is>
      </c>
      <c r="F34" s="108" t="inlineStr">
        <is>
          <t>Mid-Market</t>
        </is>
      </c>
      <c r="G34" s="109" t="n">
        <v>33</v>
      </c>
      <c r="H34" s="110" t="n">
        <v>164967</v>
      </c>
      <c r="I34" s="110" t="n">
        <v>185176</v>
      </c>
      <c r="J34" s="110" t="n">
        <v>152263</v>
      </c>
      <c r="K34" s="108" t="inlineStr">
        <is>
          <t>In Progress</t>
        </is>
      </c>
      <c r="L34" s="138" t="n">
        <v>82</v>
      </c>
      <c r="M34" s="108" t="inlineStr">
        <is>
          <t>Nu LLC</t>
        </is>
      </c>
      <c r="N34" s="108" t="inlineStr">
        <is>
          <t>Large ($50K-$200K)</t>
        </is>
      </c>
      <c r="O34" s="108" t="inlineStr">
        <is>
          <t>LinkedIn</t>
        </is>
      </c>
      <c r="P34" s="110">
        <f>H34*0.08</f>
        <v/>
      </c>
      <c r="Q34" s="137" t="n">
        <v>0.09</v>
      </c>
      <c r="R34" s="108" t="inlineStr">
        <is>
          <t>Q1 deal - LinkedIn channel</t>
        </is>
      </c>
    </row>
    <row r="35" ht="15" customHeight="1" s="77">
      <c r="A35" s="117" t="inlineStr">
        <is>
          <t>2025-12-31</t>
        </is>
      </c>
      <c r="B35" s="117" t="inlineStr">
        <is>
          <t>December</t>
        </is>
      </c>
      <c r="C35" s="117" t="inlineStr">
        <is>
          <t>Kevin Martin</t>
        </is>
      </c>
      <c r="D35" s="117" t="inlineStr">
        <is>
          <t>West</t>
        </is>
      </c>
      <c r="E35" s="117" t="inlineStr">
        <is>
          <t>Product D</t>
        </is>
      </c>
      <c r="F35" s="117" t="inlineStr">
        <is>
          <t>Startup</t>
        </is>
      </c>
      <c r="G35" s="118" t="n">
        <v>3</v>
      </c>
      <c r="H35" s="119" t="n">
        <v>74997</v>
      </c>
      <c r="I35" s="119" t="n">
        <v>71049</v>
      </c>
      <c r="J35" s="119" t="n">
        <v>81093</v>
      </c>
      <c r="K35" s="117" t="inlineStr">
        <is>
          <t>In Progress</t>
        </is>
      </c>
      <c r="L35" s="140" t="n">
        <v>49</v>
      </c>
      <c r="M35" s="117" t="inlineStr">
        <is>
          <t>Xi Ltd</t>
        </is>
      </c>
      <c r="N35" s="117" t="inlineStr">
        <is>
          <t>Large ($50K-$200K)</t>
        </is>
      </c>
      <c r="O35" s="117" t="inlineStr">
        <is>
          <t>Trade Show</t>
        </is>
      </c>
      <c r="P35" s="119">
        <f>H35*0.08</f>
        <v/>
      </c>
      <c r="Q35" s="139" t="n">
        <v>0.12</v>
      </c>
      <c r="R35" s="117" t="inlineStr">
        <is>
          <t>Q2 deal - Trade Show channel</t>
        </is>
      </c>
    </row>
    <row r="36" ht="15" customHeight="1" s="77">
      <c r="A36" s="108" t="inlineStr">
        <is>
          <t>2025-06-19</t>
        </is>
      </c>
      <c r="B36" s="108" t="inlineStr">
        <is>
          <t>June</t>
        </is>
      </c>
      <c r="C36" s="108" t="inlineStr">
        <is>
          <t>Nina Patel</t>
        </is>
      </c>
      <c r="D36" s="108" t="inlineStr">
        <is>
          <t>East</t>
        </is>
      </c>
      <c r="E36" s="108" t="inlineStr">
        <is>
          <t>Product E</t>
        </is>
      </c>
      <c r="F36" s="108" t="inlineStr">
        <is>
          <t>Government</t>
        </is>
      </c>
      <c r="G36" s="109" t="n">
        <v>39</v>
      </c>
      <c r="H36" s="110" t="n">
        <v>1949961</v>
      </c>
      <c r="I36" s="110" t="n">
        <v>2059260</v>
      </c>
      <c r="J36" s="110" t="n">
        <v>1698664</v>
      </c>
      <c r="K36" s="108" t="inlineStr">
        <is>
          <t>Won</t>
        </is>
      </c>
      <c r="L36" s="138" t="n">
        <v>64</v>
      </c>
      <c r="M36" s="108" t="inlineStr">
        <is>
          <t>Pi Co</t>
        </is>
      </c>
      <c r="N36" s="108" t="inlineStr">
        <is>
          <t>Enterprise (&gt;$200K)</t>
        </is>
      </c>
      <c r="O36" s="108" t="inlineStr">
        <is>
          <t>Website</t>
        </is>
      </c>
      <c r="P36" s="110">
        <f>H36*0.08</f>
        <v/>
      </c>
      <c r="Q36" s="137" t="n">
        <v>0.13</v>
      </c>
      <c r="R36" s="108" t="inlineStr">
        <is>
          <t>Q3 deal - Website channel</t>
        </is>
      </c>
    </row>
    <row r="37" ht="15" customHeight="1" s="77">
      <c r="A37" s="117" t="inlineStr">
        <is>
          <t>2025-04-13</t>
        </is>
      </c>
      <c r="B37" s="117" t="inlineStr">
        <is>
          <t>April</t>
        </is>
      </c>
      <c r="C37" s="117" t="inlineStr">
        <is>
          <t>Chris Wilson</t>
        </is>
      </c>
      <c r="D37" s="117" t="inlineStr">
        <is>
          <t>South</t>
        </is>
      </c>
      <c r="E37" s="117" t="inlineStr">
        <is>
          <t>Product F</t>
        </is>
      </c>
      <c r="F37" s="117" t="inlineStr">
        <is>
          <t>Enterprise</t>
        </is>
      </c>
      <c r="G37" s="118" t="n">
        <v>8</v>
      </c>
      <c r="H37" s="119" t="n">
        <v>399992</v>
      </c>
      <c r="I37" s="119" t="n">
        <v>380814</v>
      </c>
      <c r="J37" s="119" t="n">
        <v>393740</v>
      </c>
      <c r="K37" s="117" t="inlineStr">
        <is>
          <t>Won</t>
        </is>
      </c>
      <c r="L37" s="140" t="n">
        <v>103</v>
      </c>
      <c r="M37" s="117" t="inlineStr">
        <is>
          <t>Rho Corp</t>
        </is>
      </c>
      <c r="N37" s="117" t="inlineStr">
        <is>
          <t>Enterprise (&gt;$200K)</t>
        </is>
      </c>
      <c r="O37" s="117" t="inlineStr">
        <is>
          <t>Partner</t>
        </is>
      </c>
      <c r="P37" s="119">
        <f>H37*0.08</f>
        <v/>
      </c>
      <c r="Q37" s="139" t="n">
        <v>0.14</v>
      </c>
      <c r="R37" s="117" t="inlineStr">
        <is>
          <t>Q4 deal - Partner channel</t>
        </is>
      </c>
    </row>
    <row r="38" ht="15" customHeight="1" s="77">
      <c r="A38" s="108" t="inlineStr">
        <is>
          <t>2025-01-25</t>
        </is>
      </c>
      <c r="B38" s="108" t="inlineStr">
        <is>
          <t>January</t>
        </is>
      </c>
      <c r="C38" s="108" t="inlineStr">
        <is>
          <t>Amanda Foster</t>
        </is>
      </c>
      <c r="D38" s="108" t="inlineStr">
        <is>
          <t>Central</t>
        </is>
      </c>
      <c r="E38" s="108" t="inlineStr">
        <is>
          <t>Product G</t>
        </is>
      </c>
      <c r="F38" s="108" t="inlineStr">
        <is>
          <t>SMB</t>
        </is>
      </c>
      <c r="G38" s="109" t="n">
        <v>35</v>
      </c>
      <c r="H38" s="110" t="n">
        <v>1749965</v>
      </c>
      <c r="I38" s="110" t="n">
        <v>1824073</v>
      </c>
      <c r="J38" s="110" t="n">
        <v>1792733</v>
      </c>
      <c r="K38" s="108" t="inlineStr">
        <is>
          <t>Won</t>
        </is>
      </c>
      <c r="L38" s="138" t="n">
        <v>80</v>
      </c>
      <c r="M38" s="108" t="inlineStr">
        <is>
          <t>Sigma Inc</t>
        </is>
      </c>
      <c r="N38" s="108" t="inlineStr">
        <is>
          <t>Enterprise (&gt;$200K)</t>
        </is>
      </c>
      <c r="O38" s="108" t="inlineStr">
        <is>
          <t>Email Campaign</t>
        </is>
      </c>
      <c r="P38" s="110">
        <f>H38*0.08</f>
        <v/>
      </c>
      <c r="Q38" s="137" t="n">
        <v>0.14</v>
      </c>
      <c r="R38" s="108" t="inlineStr">
        <is>
          <t>Q1 deal - Email Campaign channel</t>
        </is>
      </c>
    </row>
    <row r="39" ht="15" customHeight="1" s="77">
      <c r="A39" s="117" t="inlineStr">
        <is>
          <t>2025-06-10</t>
        </is>
      </c>
      <c r="B39" s="117" t="inlineStr">
        <is>
          <t>June</t>
        </is>
      </c>
      <c r="C39" s="117" t="inlineStr">
        <is>
          <t>Robert Taylor</t>
        </is>
      </c>
      <c r="D39" s="117" t="inlineStr">
        <is>
          <t>International</t>
        </is>
      </c>
      <c r="E39" s="117" t="inlineStr">
        <is>
          <t>Product H</t>
        </is>
      </c>
      <c r="F39" s="117" t="inlineStr">
        <is>
          <t>Mid-Market</t>
        </is>
      </c>
      <c r="G39" s="118" t="n">
        <v>39</v>
      </c>
      <c r="H39" s="119" t="n">
        <v>194961</v>
      </c>
      <c r="I39" s="119" t="n">
        <v>218116</v>
      </c>
      <c r="J39" s="119" t="n">
        <v>198319</v>
      </c>
      <c r="K39" s="117" t="inlineStr">
        <is>
          <t>Won</t>
        </is>
      </c>
      <c r="L39" s="140" t="n">
        <v>104</v>
      </c>
      <c r="M39" s="117" t="inlineStr">
        <is>
          <t>Tau LLC</t>
        </is>
      </c>
      <c r="N39" s="117" t="inlineStr">
        <is>
          <t>Large ($50K-$200K)</t>
        </is>
      </c>
      <c r="O39" s="117" t="inlineStr">
        <is>
          <t>Webinar</t>
        </is>
      </c>
      <c r="P39" s="119">
        <f>H39*0.08</f>
        <v/>
      </c>
      <c r="Q39" s="139" t="n">
        <v>0.07000000000000001</v>
      </c>
      <c r="R39" s="117" t="inlineStr">
        <is>
          <t>Q2 deal - Webinar channel</t>
        </is>
      </c>
    </row>
    <row r="40" ht="15" customHeight="1" s="77">
      <c r="A40" s="108" t="inlineStr">
        <is>
          <t>2025-08-31</t>
        </is>
      </c>
      <c r="B40" s="108" t="inlineStr">
        <is>
          <t>August</t>
        </is>
      </c>
      <c r="C40" s="108" t="inlineStr">
        <is>
          <t>Jennifer Moore</t>
        </is>
      </c>
      <c r="D40" s="108" t="inlineStr">
        <is>
          <t>North</t>
        </is>
      </c>
      <c r="E40" s="108" t="inlineStr">
        <is>
          <t>Product I</t>
        </is>
      </c>
      <c r="F40" s="108" t="inlineStr">
        <is>
          <t>Startup</t>
        </is>
      </c>
      <c r="G40" s="109" t="n">
        <v>48</v>
      </c>
      <c r="H40" s="110" t="n">
        <v>1199952</v>
      </c>
      <c r="I40" s="110" t="n">
        <v>1252766</v>
      </c>
      <c r="J40" s="110" t="n">
        <v>1175856</v>
      </c>
      <c r="K40" s="108" t="inlineStr">
        <is>
          <t>Lost</t>
        </is>
      </c>
      <c r="L40" s="138" t="n">
        <v>72</v>
      </c>
      <c r="M40" s="108" t="inlineStr">
        <is>
          <t>Upsilon Ltd</t>
        </is>
      </c>
      <c r="N40" s="108" t="inlineStr">
        <is>
          <t>Enterprise (&gt;$200K)</t>
        </is>
      </c>
      <c r="O40" s="108" t="inlineStr">
        <is>
          <t>SEO</t>
        </is>
      </c>
      <c r="P40" s="110">
        <f>H40*0.08</f>
        <v/>
      </c>
      <c r="Q40" s="137" t="n">
        <v>0.08</v>
      </c>
      <c r="R40" s="108" t="inlineStr">
        <is>
          <t>Q3 deal - SEO channel</t>
        </is>
      </c>
    </row>
    <row r="41" ht="15" customHeight="1" s="77">
      <c r="A41" s="117" t="inlineStr">
        <is>
          <t>2025-02-03</t>
        </is>
      </c>
      <c r="B41" s="117" t="inlineStr">
        <is>
          <t>February</t>
        </is>
      </c>
      <c r="C41" s="117" t="inlineStr">
        <is>
          <t>Daniel Jackson</t>
        </is>
      </c>
      <c r="D41" s="117" t="inlineStr">
        <is>
          <t>West</t>
        </is>
      </c>
      <c r="E41" s="117" t="inlineStr">
        <is>
          <t>Product J</t>
        </is>
      </c>
      <c r="F41" s="117" t="inlineStr">
        <is>
          <t>Government</t>
        </is>
      </c>
      <c r="G41" s="118" t="n">
        <v>4</v>
      </c>
      <c r="H41" s="119" t="n">
        <v>119996</v>
      </c>
      <c r="I41" s="119" t="n">
        <v>115511</v>
      </c>
      <c r="J41" s="119" t="n">
        <v>118626</v>
      </c>
      <c r="K41" s="117" t="inlineStr">
        <is>
          <t>In Progress</t>
        </is>
      </c>
      <c r="L41" s="140" t="n">
        <v>16</v>
      </c>
      <c r="M41" s="117" t="inlineStr">
        <is>
          <t>Phi Co</t>
        </is>
      </c>
      <c r="N41" s="117" t="inlineStr">
        <is>
          <t>Large ($50K-$200K)</t>
        </is>
      </c>
      <c r="O41" s="117" t="inlineStr">
        <is>
          <t>Direct</t>
        </is>
      </c>
      <c r="P41" s="119">
        <f>H41*0.08</f>
        <v/>
      </c>
      <c r="Q41" s="139" t="n">
        <v>0.1</v>
      </c>
      <c r="R41" s="117" t="inlineStr">
        <is>
          <t>Q4 deal - Direct channel</t>
        </is>
      </c>
    </row>
    <row r="42" ht="15" customHeight="1" s="77">
      <c r="A42" s="108" t="inlineStr">
        <is>
          <t>2025-05-08</t>
        </is>
      </c>
      <c r="B42" s="108" t="inlineStr">
        <is>
          <t>May</t>
        </is>
      </c>
      <c r="C42" s="108" t="inlineStr">
        <is>
          <t>Sarah Johnson</t>
        </is>
      </c>
      <c r="D42" s="108" t="inlineStr">
        <is>
          <t>North</t>
        </is>
      </c>
      <c r="E42" s="108" t="inlineStr">
        <is>
          <t>Product A</t>
        </is>
      </c>
      <c r="F42" s="108" t="inlineStr">
        <is>
          <t>Enterprise</t>
        </is>
      </c>
      <c r="G42" s="109" t="n">
        <v>23</v>
      </c>
      <c r="H42" s="110" t="n">
        <v>344977</v>
      </c>
      <c r="I42" s="110" t="n">
        <v>393378</v>
      </c>
      <c r="J42" s="110" t="n">
        <v>321472</v>
      </c>
      <c r="K42" s="108" t="inlineStr">
        <is>
          <t>In Progress</t>
        </is>
      </c>
      <c r="L42" s="138" t="n">
        <v>59</v>
      </c>
      <c r="M42" s="108" t="inlineStr">
        <is>
          <t>Acme Corp</t>
        </is>
      </c>
      <c r="N42" s="108" t="inlineStr">
        <is>
          <t>Enterprise (&gt;$200K)</t>
        </is>
      </c>
      <c r="O42" s="108" t="inlineStr">
        <is>
          <t>Referral</t>
        </is>
      </c>
      <c r="P42" s="110">
        <f>H42*0.08</f>
        <v/>
      </c>
      <c r="Q42" s="137" t="n">
        <v>0.15</v>
      </c>
      <c r="R42" s="108" t="inlineStr">
        <is>
          <t>Q1 deal - Referral channel</t>
        </is>
      </c>
    </row>
    <row r="43" ht="15" customHeight="1" s="77">
      <c r="A43" s="117" t="inlineStr">
        <is>
          <t>2025-11-28</t>
        </is>
      </c>
      <c r="B43" s="117" t="inlineStr">
        <is>
          <t>November</t>
        </is>
      </c>
      <c r="C43" s="117" t="inlineStr">
        <is>
          <t>Mike Chen</t>
        </is>
      </c>
      <c r="D43" s="117" t="inlineStr">
        <is>
          <t>West</t>
        </is>
      </c>
      <c r="E43" s="117" t="inlineStr">
        <is>
          <t>Product B</t>
        </is>
      </c>
      <c r="F43" s="117" t="inlineStr">
        <is>
          <t>SMB</t>
        </is>
      </c>
      <c r="G43" s="118" t="n">
        <v>17</v>
      </c>
      <c r="H43" s="119" t="n">
        <v>254983</v>
      </c>
      <c r="I43" s="119" t="n">
        <v>301038</v>
      </c>
      <c r="J43" s="119" t="n">
        <v>278534</v>
      </c>
      <c r="K43" s="117" t="inlineStr">
        <is>
          <t>Won</t>
        </is>
      </c>
      <c r="L43" s="140" t="n">
        <v>28</v>
      </c>
      <c r="M43" s="117" t="inlineStr">
        <is>
          <t>Beta Inc</t>
        </is>
      </c>
      <c r="N43" s="117" t="inlineStr">
        <is>
          <t>Enterprise (&gt;$200K)</t>
        </is>
      </c>
      <c r="O43" s="117" t="inlineStr">
        <is>
          <t>Cold Call</t>
        </is>
      </c>
      <c r="P43" s="119">
        <f>H43*0.08</f>
        <v/>
      </c>
      <c r="Q43" s="139" t="n">
        <v>0.06</v>
      </c>
      <c r="R43" s="117" t="inlineStr">
        <is>
          <t>Q2 deal - Cold Call channel</t>
        </is>
      </c>
    </row>
    <row r="44" ht="15" customHeight="1" s="77">
      <c r="A44" s="108" t="inlineStr">
        <is>
          <t>2025-08-30</t>
        </is>
      </c>
      <c r="B44" s="108" t="inlineStr">
        <is>
          <t>August</t>
        </is>
      </c>
      <c r="C44" s="108" t="inlineStr">
        <is>
          <t>Priya Sharma</t>
        </is>
      </c>
      <c r="D44" s="108" t="inlineStr">
        <is>
          <t>East</t>
        </is>
      </c>
      <c r="E44" s="108" t="inlineStr">
        <is>
          <t>Product C</t>
        </is>
      </c>
      <c r="F44" s="108" t="inlineStr">
        <is>
          <t>Mid-Market</t>
        </is>
      </c>
      <c r="G44" s="109" t="n">
        <v>7</v>
      </c>
      <c r="H44" s="110" t="n">
        <v>174993</v>
      </c>
      <c r="I44" s="110" t="n">
        <v>190440</v>
      </c>
      <c r="J44" s="110" t="n">
        <v>158309</v>
      </c>
      <c r="K44" s="108" t="inlineStr">
        <is>
          <t>Won</t>
        </is>
      </c>
      <c r="L44" s="138" t="n">
        <v>35</v>
      </c>
      <c r="M44" s="108" t="inlineStr">
        <is>
          <t>Gamma LLC</t>
        </is>
      </c>
      <c r="N44" s="108" t="inlineStr">
        <is>
          <t>Large ($50K-$200K)</t>
        </is>
      </c>
      <c r="O44" s="108" t="inlineStr">
        <is>
          <t>LinkedIn</t>
        </is>
      </c>
      <c r="P44" s="110">
        <f>H44*0.08</f>
        <v/>
      </c>
      <c r="Q44" s="137" t="n">
        <v>0.12</v>
      </c>
      <c r="R44" s="108" t="inlineStr">
        <is>
          <t>Q3 deal - LinkedIn channel</t>
        </is>
      </c>
    </row>
    <row r="45" ht="15" customHeight="1" s="77">
      <c r="A45" s="117" t="inlineStr">
        <is>
          <t>2025-09-27</t>
        </is>
      </c>
      <c r="B45" s="117" t="inlineStr">
        <is>
          <t>September</t>
        </is>
      </c>
      <c r="C45" s="117" t="inlineStr">
        <is>
          <t>James Williams</t>
        </is>
      </c>
      <c r="D45" s="117" t="inlineStr">
        <is>
          <t>South</t>
        </is>
      </c>
      <c r="E45" s="117" t="inlineStr">
        <is>
          <t>Product D</t>
        </is>
      </c>
      <c r="F45" s="117" t="inlineStr">
        <is>
          <t>Startup</t>
        </is>
      </c>
      <c r="G45" s="118" t="n">
        <v>28</v>
      </c>
      <c r="H45" s="119" t="n">
        <v>419972</v>
      </c>
      <c r="I45" s="119" t="n">
        <v>495282</v>
      </c>
      <c r="J45" s="119" t="n">
        <v>376719</v>
      </c>
      <c r="K45" s="117" t="inlineStr">
        <is>
          <t>Won</t>
        </is>
      </c>
      <c r="L45" s="140" t="n">
        <v>50</v>
      </c>
      <c r="M45" s="117" t="inlineStr">
        <is>
          <t>Delta Ltd</t>
        </is>
      </c>
      <c r="N45" s="117" t="inlineStr">
        <is>
          <t>Enterprise (&gt;$200K)</t>
        </is>
      </c>
      <c r="O45" s="117" t="inlineStr">
        <is>
          <t>Trade Show</t>
        </is>
      </c>
      <c r="P45" s="119">
        <f>H45*0.08</f>
        <v/>
      </c>
      <c r="Q45" s="139" t="n">
        <v>0.11</v>
      </c>
      <c r="R45" s="117" t="inlineStr">
        <is>
          <t>Q4 deal - Trade Show channel</t>
        </is>
      </c>
    </row>
    <row r="46" ht="15" customHeight="1" s="77">
      <c r="A46" s="108" t="inlineStr">
        <is>
          <t>2025-01-06</t>
        </is>
      </c>
      <c r="B46" s="108" t="inlineStr">
        <is>
          <t>January</t>
        </is>
      </c>
      <c r="C46" s="108" t="inlineStr">
        <is>
          <t>Emily Davis</t>
        </is>
      </c>
      <c r="D46" s="108" t="inlineStr">
        <is>
          <t>Central</t>
        </is>
      </c>
      <c r="E46" s="108" t="inlineStr">
        <is>
          <t>Product E</t>
        </is>
      </c>
      <c r="F46" s="108" t="inlineStr">
        <is>
          <t>Government</t>
        </is>
      </c>
      <c r="G46" s="109" t="n">
        <v>16</v>
      </c>
      <c r="H46" s="110" t="n">
        <v>159984</v>
      </c>
      <c r="I46" s="110" t="n">
        <v>179768</v>
      </c>
      <c r="J46" s="110" t="n">
        <v>160771</v>
      </c>
      <c r="K46" s="108" t="inlineStr">
        <is>
          <t>Won</t>
        </is>
      </c>
      <c r="L46" s="138" t="n">
        <v>99</v>
      </c>
      <c r="M46" s="108" t="inlineStr">
        <is>
          <t>Epsilon Co</t>
        </is>
      </c>
      <c r="N46" s="108" t="inlineStr">
        <is>
          <t>Large ($50K-$200K)</t>
        </is>
      </c>
      <c r="O46" s="108" t="inlineStr">
        <is>
          <t>Website</t>
        </is>
      </c>
      <c r="P46" s="110">
        <f>H46*0.08</f>
        <v/>
      </c>
      <c r="Q46" s="137" t="n">
        <v>0.08</v>
      </c>
      <c r="R46" s="108" t="inlineStr">
        <is>
          <t>Q1 deal - Website channel</t>
        </is>
      </c>
    </row>
    <row r="47" ht="15" customHeight="1" s="77">
      <c r="A47" s="117" t="inlineStr">
        <is>
          <t>2025-07-30</t>
        </is>
      </c>
      <c r="B47" s="117" t="inlineStr">
        <is>
          <t>July</t>
        </is>
      </c>
      <c r="C47" s="117" t="inlineStr">
        <is>
          <t>Carlos Ruiz</t>
        </is>
      </c>
      <c r="D47" s="117" t="inlineStr">
        <is>
          <t>International</t>
        </is>
      </c>
      <c r="E47" s="117" t="inlineStr">
        <is>
          <t>Product F</t>
        </is>
      </c>
      <c r="F47" s="117" t="inlineStr">
        <is>
          <t>Enterprise</t>
        </is>
      </c>
      <c r="G47" s="118" t="n">
        <v>33</v>
      </c>
      <c r="H47" s="119" t="n">
        <v>824967</v>
      </c>
      <c r="I47" s="119" t="n">
        <v>942145</v>
      </c>
      <c r="J47" s="119" t="n">
        <v>898645</v>
      </c>
      <c r="K47" s="117" t="inlineStr">
        <is>
          <t>Lost</t>
        </is>
      </c>
      <c r="L47" s="140" t="n">
        <v>92</v>
      </c>
      <c r="M47" s="117" t="inlineStr">
        <is>
          <t>Zeta Corp</t>
        </is>
      </c>
      <c r="N47" s="117" t="inlineStr">
        <is>
          <t>Enterprise (&gt;$200K)</t>
        </is>
      </c>
      <c r="O47" s="117" t="inlineStr">
        <is>
          <t>Partner</t>
        </is>
      </c>
      <c r="P47" s="119">
        <f>H47*0.08</f>
        <v/>
      </c>
      <c r="Q47" s="139" t="n">
        <v>0.06</v>
      </c>
      <c r="R47" s="117" t="inlineStr">
        <is>
          <t>Q2 deal - Partner channel</t>
        </is>
      </c>
    </row>
    <row r="48" ht="15" customHeight="1" s="77">
      <c r="A48" s="108" t="inlineStr">
        <is>
          <t>2025-10-25</t>
        </is>
      </c>
      <c r="B48" s="108" t="inlineStr">
        <is>
          <t>October</t>
        </is>
      </c>
      <c r="C48" s="108" t="inlineStr">
        <is>
          <t>Lisa Park</t>
        </is>
      </c>
      <c r="D48" s="108" t="inlineStr">
        <is>
          <t>North</t>
        </is>
      </c>
      <c r="E48" s="108" t="inlineStr">
        <is>
          <t>Product G</t>
        </is>
      </c>
      <c r="F48" s="108" t="inlineStr">
        <is>
          <t>SMB</t>
        </is>
      </c>
      <c r="G48" s="109" t="n">
        <v>30</v>
      </c>
      <c r="H48" s="110" t="n">
        <v>899970</v>
      </c>
      <c r="I48" s="110" t="n">
        <v>813114</v>
      </c>
      <c r="J48" s="110" t="n">
        <v>829187</v>
      </c>
      <c r="K48" s="108" t="inlineStr">
        <is>
          <t>In Progress</t>
        </is>
      </c>
      <c r="L48" s="138" t="n">
        <v>68</v>
      </c>
      <c r="M48" s="108" t="inlineStr">
        <is>
          <t>Eta Inc</t>
        </is>
      </c>
      <c r="N48" s="108" t="inlineStr">
        <is>
          <t>Enterprise (&gt;$200K)</t>
        </is>
      </c>
      <c r="O48" s="108" t="inlineStr">
        <is>
          <t>Email Campaign</t>
        </is>
      </c>
      <c r="P48" s="110">
        <f>H48*0.08</f>
        <v/>
      </c>
      <c r="Q48" s="137" t="n">
        <v>0.09</v>
      </c>
      <c r="R48" s="108" t="inlineStr">
        <is>
          <t>Q3 deal - Email Campaign channel</t>
        </is>
      </c>
    </row>
    <row r="49" ht="15" customHeight="1" s="77">
      <c r="A49" s="117" t="inlineStr">
        <is>
          <t>2025-04-14</t>
        </is>
      </c>
      <c r="B49" s="117" t="inlineStr">
        <is>
          <t>April</t>
        </is>
      </c>
      <c r="C49" s="117" t="inlineStr">
        <is>
          <t>Tom Brown</t>
        </is>
      </c>
      <c r="D49" s="117" t="inlineStr">
        <is>
          <t>West</t>
        </is>
      </c>
      <c r="E49" s="117" t="inlineStr">
        <is>
          <t>Product H</t>
        </is>
      </c>
      <c r="F49" s="117" t="inlineStr">
        <is>
          <t>Mid-Market</t>
        </is>
      </c>
      <c r="G49" s="118" t="n">
        <v>13</v>
      </c>
      <c r="H49" s="119" t="n">
        <v>129987</v>
      </c>
      <c r="I49" s="119" t="n">
        <v>140231</v>
      </c>
      <c r="J49" s="119" t="n">
        <v>113107</v>
      </c>
      <c r="K49" s="117" t="inlineStr">
        <is>
          <t>In Progress</t>
        </is>
      </c>
      <c r="L49" s="140" t="n">
        <v>78</v>
      </c>
      <c r="M49" s="117" t="inlineStr">
        <is>
          <t>Theta LLC</t>
        </is>
      </c>
      <c r="N49" s="117" t="inlineStr">
        <is>
          <t>Large ($50K-$200K)</t>
        </is>
      </c>
      <c r="O49" s="117" t="inlineStr">
        <is>
          <t>Webinar</t>
        </is>
      </c>
      <c r="P49" s="119">
        <f>H49*0.08</f>
        <v/>
      </c>
      <c r="Q49" s="139" t="n">
        <v>0.15</v>
      </c>
      <c r="R49" s="117" t="inlineStr">
        <is>
          <t>Q4 deal - Webinar channel</t>
        </is>
      </c>
    </row>
    <row r="50" ht="15" customHeight="1" s="77">
      <c r="A50" s="108" t="inlineStr">
        <is>
          <t>2025-07-17</t>
        </is>
      </c>
      <c r="B50" s="108" t="inlineStr">
        <is>
          <t>July</t>
        </is>
      </c>
      <c r="C50" s="108" t="inlineStr">
        <is>
          <t>Anna Schmidt</t>
        </is>
      </c>
      <c r="D50" s="108" t="inlineStr">
        <is>
          <t>East</t>
        </is>
      </c>
      <c r="E50" s="108" t="inlineStr">
        <is>
          <t>Product I</t>
        </is>
      </c>
      <c r="F50" s="108" t="inlineStr">
        <is>
          <t>Startup</t>
        </is>
      </c>
      <c r="G50" s="109" t="n">
        <v>43</v>
      </c>
      <c r="H50" s="110" t="n">
        <v>1289957</v>
      </c>
      <c r="I50" s="110" t="n">
        <v>1326942</v>
      </c>
      <c r="J50" s="110" t="n">
        <v>1189771</v>
      </c>
      <c r="K50" s="108" t="inlineStr">
        <is>
          <t>Won</t>
        </is>
      </c>
      <c r="L50" s="138" t="n">
        <v>20</v>
      </c>
      <c r="M50" s="108" t="inlineStr">
        <is>
          <t>Iota Ltd</t>
        </is>
      </c>
      <c r="N50" s="108" t="inlineStr">
        <is>
          <t>Enterprise (&gt;$200K)</t>
        </is>
      </c>
      <c r="O50" s="108" t="inlineStr">
        <is>
          <t>SEO</t>
        </is>
      </c>
      <c r="P50" s="110">
        <f>H50*0.08</f>
        <v/>
      </c>
      <c r="Q50" s="137" t="n">
        <v>0.06</v>
      </c>
      <c r="R50" s="108" t="inlineStr">
        <is>
          <t>Q1 deal - SEO channel</t>
        </is>
      </c>
    </row>
    <row r="51" ht="15" customHeight="1" s="77">
      <c r="A51" s="117" t="inlineStr">
        <is>
          <t>2025-04-15</t>
        </is>
      </c>
      <c r="B51" s="117" t="inlineStr">
        <is>
          <t>April</t>
        </is>
      </c>
      <c r="C51" s="117" t="inlineStr">
        <is>
          <t>David Kim</t>
        </is>
      </c>
      <c r="D51" s="117" t="inlineStr">
        <is>
          <t>South</t>
        </is>
      </c>
      <c r="E51" s="117" t="inlineStr">
        <is>
          <t>Product J</t>
        </is>
      </c>
      <c r="F51" s="117" t="inlineStr">
        <is>
          <t>Government</t>
        </is>
      </c>
      <c r="G51" s="118" t="n">
        <v>14</v>
      </c>
      <c r="H51" s="119" t="n">
        <v>419986</v>
      </c>
      <c r="I51" s="119" t="n">
        <v>415763</v>
      </c>
      <c r="J51" s="119" t="n">
        <v>357192</v>
      </c>
      <c r="K51" s="117" t="inlineStr">
        <is>
          <t>Won</t>
        </is>
      </c>
      <c r="L51" s="140" t="n">
        <v>59</v>
      </c>
      <c r="M51" s="117" t="inlineStr">
        <is>
          <t>Kappa Co</t>
        </is>
      </c>
      <c r="N51" s="117" t="inlineStr">
        <is>
          <t>Enterprise (&gt;$200K)</t>
        </is>
      </c>
      <c r="O51" s="117" t="inlineStr">
        <is>
          <t>Direct</t>
        </is>
      </c>
      <c r="P51" s="119">
        <f>H51*0.08</f>
        <v/>
      </c>
      <c r="Q51" s="139" t="n">
        <v>0</v>
      </c>
      <c r="R51" s="117" t="inlineStr">
        <is>
          <t>Q2 deal - Direct channel</t>
        </is>
      </c>
    </row>
    <row r="52" ht="15" customHeight="1" s="77">
      <c r="A52" s="108" t="inlineStr">
        <is>
          <t>2025-03-11</t>
        </is>
      </c>
      <c r="B52" s="108" t="inlineStr">
        <is>
          <t>March</t>
        </is>
      </c>
      <c r="C52" s="108" t="inlineStr">
        <is>
          <t>Rachel Green</t>
        </is>
      </c>
      <c r="D52" s="108" t="inlineStr">
        <is>
          <t>Central</t>
        </is>
      </c>
      <c r="E52" s="108" t="inlineStr">
        <is>
          <t>Product A</t>
        </is>
      </c>
      <c r="F52" s="108" t="inlineStr">
        <is>
          <t>Enterprise</t>
        </is>
      </c>
      <c r="G52" s="109" t="n">
        <v>21</v>
      </c>
      <c r="H52" s="110" t="n">
        <v>104979</v>
      </c>
      <c r="I52" s="110" t="n">
        <v>105340</v>
      </c>
      <c r="J52" s="110" t="n">
        <v>98588</v>
      </c>
      <c r="K52" s="108" t="inlineStr">
        <is>
          <t>Won</t>
        </is>
      </c>
      <c r="L52" s="138" t="n">
        <v>118</v>
      </c>
      <c r="M52" s="108" t="inlineStr">
        <is>
          <t>Lambda Corp</t>
        </is>
      </c>
      <c r="N52" s="108" t="inlineStr">
        <is>
          <t>Large ($50K-$200K)</t>
        </is>
      </c>
      <c r="O52" s="108" t="inlineStr">
        <is>
          <t>Referral</t>
        </is>
      </c>
      <c r="P52" s="110">
        <f>H52*0.08</f>
        <v/>
      </c>
      <c r="Q52" s="137" t="n">
        <v>0.07000000000000001</v>
      </c>
      <c r="R52" s="108" t="inlineStr">
        <is>
          <t>Q3 deal - Referral channel</t>
        </is>
      </c>
    </row>
    <row r="53" ht="15" customHeight="1" s="77">
      <c r="A53" s="117" t="inlineStr">
        <is>
          <t>2025-01-20</t>
        </is>
      </c>
      <c r="B53" s="117" t="inlineStr">
        <is>
          <t>January</t>
        </is>
      </c>
      <c r="C53" s="117" t="inlineStr">
        <is>
          <t>Mark Thompson</t>
        </is>
      </c>
      <c r="D53" s="117" t="inlineStr">
        <is>
          <t>International</t>
        </is>
      </c>
      <c r="E53" s="117" t="inlineStr">
        <is>
          <t>Product B</t>
        </is>
      </c>
      <c r="F53" s="117" t="inlineStr">
        <is>
          <t>SMB</t>
        </is>
      </c>
      <c r="G53" s="118" t="n">
        <v>6</v>
      </c>
      <c r="H53" s="119" t="n">
        <v>47994</v>
      </c>
      <c r="I53" s="119" t="n">
        <v>50054</v>
      </c>
      <c r="J53" s="119" t="n">
        <v>51429</v>
      </c>
      <c r="K53" s="117" t="inlineStr">
        <is>
          <t>Won</t>
        </is>
      </c>
      <c r="L53" s="140" t="n">
        <v>24</v>
      </c>
      <c r="M53" s="117" t="inlineStr">
        <is>
          <t>Mu Inc</t>
        </is>
      </c>
      <c r="N53" s="117" t="inlineStr">
        <is>
          <t>Medium ($10K-$50K)</t>
        </is>
      </c>
      <c r="O53" s="117" t="inlineStr">
        <is>
          <t>Cold Call</t>
        </is>
      </c>
      <c r="P53" s="119">
        <f>H53*0.08</f>
        <v/>
      </c>
      <c r="Q53" s="139" t="n">
        <v>0.12</v>
      </c>
      <c r="R53" s="117" t="inlineStr">
        <is>
          <t>Q4 deal - Cold Call channel</t>
        </is>
      </c>
    </row>
    <row r="54" ht="15" customHeight="1" s="77">
      <c r="A54" s="108" t="inlineStr">
        <is>
          <t>2025-03-20</t>
        </is>
      </c>
      <c r="B54" s="108" t="inlineStr">
        <is>
          <t>March</t>
        </is>
      </c>
      <c r="C54" s="108" t="inlineStr">
        <is>
          <t>Susan Lee</t>
        </is>
      </c>
      <c r="D54" s="108" t="inlineStr">
        <is>
          <t>North</t>
        </is>
      </c>
      <c r="E54" s="108" t="inlineStr">
        <is>
          <t>Product C</t>
        </is>
      </c>
      <c r="F54" s="108" t="inlineStr">
        <is>
          <t>Mid-Market</t>
        </is>
      </c>
      <c r="G54" s="109" t="n">
        <v>21</v>
      </c>
      <c r="H54" s="110" t="n">
        <v>167979</v>
      </c>
      <c r="I54" s="110" t="n">
        <v>158187</v>
      </c>
      <c r="J54" s="110" t="n">
        <v>160654</v>
      </c>
      <c r="K54" s="108" t="inlineStr">
        <is>
          <t>Lost</t>
        </is>
      </c>
      <c r="L54" s="138" t="n">
        <v>52</v>
      </c>
      <c r="M54" s="108" t="inlineStr">
        <is>
          <t>Nu LLC</t>
        </is>
      </c>
      <c r="N54" s="108" t="inlineStr">
        <is>
          <t>Large ($50K-$200K)</t>
        </is>
      </c>
      <c r="O54" s="108" t="inlineStr">
        <is>
          <t>LinkedIn</t>
        </is>
      </c>
      <c r="P54" s="110">
        <f>H54*0.08</f>
        <v/>
      </c>
      <c r="Q54" s="137" t="n">
        <v>0.13</v>
      </c>
      <c r="R54" s="108" t="inlineStr">
        <is>
          <t>Q1 deal - LinkedIn channel</t>
        </is>
      </c>
    </row>
    <row r="55" ht="15" customHeight="1" s="77">
      <c r="A55" s="117" t="inlineStr">
        <is>
          <t>2025-08-24</t>
        </is>
      </c>
      <c r="B55" s="117" t="inlineStr">
        <is>
          <t>August</t>
        </is>
      </c>
      <c r="C55" s="117" t="inlineStr">
        <is>
          <t>Kevin Martin</t>
        </is>
      </c>
      <c r="D55" s="117" t="inlineStr">
        <is>
          <t>West</t>
        </is>
      </c>
      <c r="E55" s="117" t="inlineStr">
        <is>
          <t>Product D</t>
        </is>
      </c>
      <c r="F55" s="117" t="inlineStr">
        <is>
          <t>Startup</t>
        </is>
      </c>
      <c r="G55" s="118" t="n">
        <v>35</v>
      </c>
      <c r="H55" s="119" t="n">
        <v>279965</v>
      </c>
      <c r="I55" s="119" t="n">
        <v>332766</v>
      </c>
      <c r="J55" s="119" t="n">
        <v>289060</v>
      </c>
      <c r="K55" s="117" t="inlineStr">
        <is>
          <t>In Progress</t>
        </is>
      </c>
      <c r="L55" s="140" t="n">
        <v>70</v>
      </c>
      <c r="M55" s="117" t="inlineStr">
        <is>
          <t>Xi Ltd</t>
        </is>
      </c>
      <c r="N55" s="117" t="inlineStr">
        <is>
          <t>Enterprise (&gt;$200K)</t>
        </is>
      </c>
      <c r="O55" s="117" t="inlineStr">
        <is>
          <t>Trade Show</t>
        </is>
      </c>
      <c r="P55" s="119">
        <f>H55*0.08</f>
        <v/>
      </c>
      <c r="Q55" s="139" t="n">
        <v>0.06</v>
      </c>
      <c r="R55" s="117" t="inlineStr">
        <is>
          <t>Q2 deal - Trade Show channel</t>
        </is>
      </c>
    </row>
    <row r="56" ht="15" customHeight="1" s="77">
      <c r="A56" s="108" t="inlineStr">
        <is>
          <t>2025-01-21</t>
        </is>
      </c>
      <c r="B56" s="108" t="inlineStr">
        <is>
          <t>January</t>
        </is>
      </c>
      <c r="C56" s="108" t="inlineStr">
        <is>
          <t>Nina Patel</t>
        </is>
      </c>
      <c r="D56" s="108" t="inlineStr">
        <is>
          <t>East</t>
        </is>
      </c>
      <c r="E56" s="108" t="inlineStr">
        <is>
          <t>Product E</t>
        </is>
      </c>
      <c r="F56" s="108" t="inlineStr">
        <is>
          <t>Government</t>
        </is>
      </c>
      <c r="G56" s="109" t="n">
        <v>36</v>
      </c>
      <c r="H56" s="110" t="n">
        <v>179964</v>
      </c>
      <c r="I56" s="110" t="n">
        <v>212914</v>
      </c>
      <c r="J56" s="110" t="n">
        <v>168957</v>
      </c>
      <c r="K56" s="108" t="inlineStr">
        <is>
          <t>In Progress</t>
        </is>
      </c>
      <c r="L56" s="138" t="n">
        <v>106</v>
      </c>
      <c r="M56" s="108" t="inlineStr">
        <is>
          <t>Pi Co</t>
        </is>
      </c>
      <c r="N56" s="108" t="inlineStr">
        <is>
          <t>Large ($50K-$200K)</t>
        </is>
      </c>
      <c r="O56" s="108" t="inlineStr">
        <is>
          <t>Website</t>
        </is>
      </c>
      <c r="P56" s="110">
        <f>H56*0.08</f>
        <v/>
      </c>
      <c r="Q56" s="137" t="n">
        <v>0.01</v>
      </c>
      <c r="R56" s="108" t="inlineStr">
        <is>
          <t>Q3 deal - Website channel</t>
        </is>
      </c>
    </row>
    <row r="57" ht="15" customHeight="1" s="77">
      <c r="A57" s="117" t="inlineStr">
        <is>
          <t>2025-12-04</t>
        </is>
      </c>
      <c r="B57" s="117" t="inlineStr">
        <is>
          <t>December</t>
        </is>
      </c>
      <c r="C57" s="117" t="inlineStr">
        <is>
          <t>Chris Wilson</t>
        </is>
      </c>
      <c r="D57" s="117" t="inlineStr">
        <is>
          <t>South</t>
        </is>
      </c>
      <c r="E57" s="117" t="inlineStr">
        <is>
          <t>Product F</t>
        </is>
      </c>
      <c r="F57" s="117" t="inlineStr">
        <is>
          <t>Enterprise</t>
        </is>
      </c>
      <c r="G57" s="118" t="n">
        <v>10</v>
      </c>
      <c r="H57" s="119" t="n">
        <v>49990</v>
      </c>
      <c r="I57" s="119" t="n">
        <v>59275</v>
      </c>
      <c r="J57" s="119" t="n">
        <v>51951</v>
      </c>
      <c r="K57" s="117" t="inlineStr">
        <is>
          <t>Won</t>
        </is>
      </c>
      <c r="L57" s="140" t="n">
        <v>66</v>
      </c>
      <c r="M57" s="117" t="inlineStr">
        <is>
          <t>Rho Corp</t>
        </is>
      </c>
      <c r="N57" s="117" t="inlineStr">
        <is>
          <t>Medium ($10K-$50K)</t>
        </is>
      </c>
      <c r="O57" s="117" t="inlineStr">
        <is>
          <t>Partner</t>
        </is>
      </c>
      <c r="P57" s="119">
        <f>H57*0.08</f>
        <v/>
      </c>
      <c r="Q57" s="139" t="n">
        <v>0.04</v>
      </c>
      <c r="R57" s="117" t="inlineStr">
        <is>
          <t>Q4 deal - Partner channel</t>
        </is>
      </c>
    </row>
    <row r="58" ht="15" customHeight="1" s="77">
      <c r="A58" s="108" t="inlineStr">
        <is>
          <t>2025-06-28</t>
        </is>
      </c>
      <c r="B58" s="108" t="inlineStr">
        <is>
          <t>June</t>
        </is>
      </c>
      <c r="C58" s="108" t="inlineStr">
        <is>
          <t>Amanda Foster</t>
        </is>
      </c>
      <c r="D58" s="108" t="inlineStr">
        <is>
          <t>Central</t>
        </is>
      </c>
      <c r="E58" s="108" t="inlineStr">
        <is>
          <t>Product G</t>
        </is>
      </c>
      <c r="F58" s="108" t="inlineStr">
        <is>
          <t>SMB</t>
        </is>
      </c>
      <c r="G58" s="109" t="n">
        <v>11</v>
      </c>
      <c r="H58" s="110" t="n">
        <v>54989</v>
      </c>
      <c r="I58" s="110" t="n">
        <v>61943</v>
      </c>
      <c r="J58" s="110" t="n">
        <v>57183</v>
      </c>
      <c r="K58" s="108" t="inlineStr">
        <is>
          <t>Won</t>
        </is>
      </c>
      <c r="L58" s="138" t="n">
        <v>28</v>
      </c>
      <c r="M58" s="108" t="inlineStr">
        <is>
          <t>Sigma Inc</t>
        </is>
      </c>
      <c r="N58" s="108" t="inlineStr">
        <is>
          <t>Large ($50K-$200K)</t>
        </is>
      </c>
      <c r="O58" s="108" t="inlineStr">
        <is>
          <t>Email Campaign</t>
        </is>
      </c>
      <c r="P58" s="110">
        <f>H58*0.08</f>
        <v/>
      </c>
      <c r="Q58" s="137" t="n">
        <v>0.13</v>
      </c>
      <c r="R58" s="108" t="inlineStr">
        <is>
          <t>Q1 deal - Email Campaign channel</t>
        </is>
      </c>
    </row>
    <row r="59" ht="15" customHeight="1" s="77">
      <c r="A59" s="117" t="inlineStr">
        <is>
          <t>2025-04-29</t>
        </is>
      </c>
      <c r="B59" s="117" t="inlineStr">
        <is>
          <t>April</t>
        </is>
      </c>
      <c r="C59" s="117" t="inlineStr">
        <is>
          <t>Robert Taylor</t>
        </is>
      </c>
      <c r="D59" s="117" t="inlineStr">
        <is>
          <t>International</t>
        </is>
      </c>
      <c r="E59" s="117" t="inlineStr">
        <is>
          <t>Product H</t>
        </is>
      </c>
      <c r="F59" s="117" t="inlineStr">
        <is>
          <t>Mid-Market</t>
        </is>
      </c>
      <c r="G59" s="118" t="n">
        <v>50</v>
      </c>
      <c r="H59" s="119" t="n">
        <v>2499950</v>
      </c>
      <c r="I59" s="119" t="n">
        <v>2486539</v>
      </c>
      <c r="J59" s="119" t="n">
        <v>2210063</v>
      </c>
      <c r="K59" s="117" t="inlineStr">
        <is>
          <t>Won</t>
        </is>
      </c>
      <c r="L59" s="140" t="n">
        <v>9</v>
      </c>
      <c r="M59" s="117" t="inlineStr">
        <is>
          <t>Tau LLC</t>
        </is>
      </c>
      <c r="N59" s="117" t="inlineStr">
        <is>
          <t>Enterprise (&gt;$200K)</t>
        </is>
      </c>
      <c r="O59" s="117" t="inlineStr">
        <is>
          <t>Webinar</t>
        </is>
      </c>
      <c r="P59" s="119">
        <f>H59*0.08</f>
        <v/>
      </c>
      <c r="Q59" s="139" t="n">
        <v>0.14</v>
      </c>
      <c r="R59" s="117" t="inlineStr">
        <is>
          <t>Q2 deal - Webinar channel</t>
        </is>
      </c>
    </row>
    <row r="60" ht="15" customHeight="1" s="77">
      <c r="A60" s="108" t="inlineStr">
        <is>
          <t>2025-04-28</t>
        </is>
      </c>
      <c r="B60" s="108" t="inlineStr">
        <is>
          <t>April</t>
        </is>
      </c>
      <c r="C60" s="108" t="inlineStr">
        <is>
          <t>Jennifer Moore</t>
        </is>
      </c>
      <c r="D60" s="108" t="inlineStr">
        <is>
          <t>North</t>
        </is>
      </c>
      <c r="E60" s="108" t="inlineStr">
        <is>
          <t>Product I</t>
        </is>
      </c>
      <c r="F60" s="108" t="inlineStr">
        <is>
          <t>Startup</t>
        </is>
      </c>
      <c r="G60" s="109" t="n">
        <v>21</v>
      </c>
      <c r="H60" s="110" t="n">
        <v>314979</v>
      </c>
      <c r="I60" s="110" t="n">
        <v>312773</v>
      </c>
      <c r="J60" s="110" t="n">
        <v>290769</v>
      </c>
      <c r="K60" s="108" t="inlineStr">
        <is>
          <t>Won</t>
        </is>
      </c>
      <c r="L60" s="138" t="n">
        <v>118</v>
      </c>
      <c r="M60" s="108" t="inlineStr">
        <is>
          <t>Upsilon Ltd</t>
        </is>
      </c>
      <c r="N60" s="108" t="inlineStr">
        <is>
          <t>Enterprise (&gt;$200K)</t>
        </is>
      </c>
      <c r="O60" s="108" t="inlineStr">
        <is>
          <t>SEO</t>
        </is>
      </c>
      <c r="P60" s="110">
        <f>H60*0.08</f>
        <v/>
      </c>
      <c r="Q60" s="137" t="n">
        <v>0.01</v>
      </c>
      <c r="R60" s="108" t="inlineStr">
        <is>
          <t>Q3 deal - SEO channel</t>
        </is>
      </c>
    </row>
    <row r="61" ht="15" customHeight="1" s="77">
      <c r="A61" s="117" t="inlineStr">
        <is>
          <t>2025-06-24</t>
        </is>
      </c>
      <c r="B61" s="117" t="inlineStr">
        <is>
          <t>June</t>
        </is>
      </c>
      <c r="C61" s="117" t="inlineStr">
        <is>
          <t>Daniel Jackson</t>
        </is>
      </c>
      <c r="D61" s="117" t="inlineStr">
        <is>
          <t>West</t>
        </is>
      </c>
      <c r="E61" s="117" t="inlineStr">
        <is>
          <t>Product J</t>
        </is>
      </c>
      <c r="F61" s="117" t="inlineStr">
        <is>
          <t>Government</t>
        </is>
      </c>
      <c r="G61" s="118" t="n">
        <v>33</v>
      </c>
      <c r="H61" s="119" t="n">
        <v>824967</v>
      </c>
      <c r="I61" s="119" t="n">
        <v>913484</v>
      </c>
      <c r="J61" s="119" t="n">
        <v>790572</v>
      </c>
      <c r="K61" s="117" t="inlineStr">
        <is>
          <t>Lost</t>
        </is>
      </c>
      <c r="L61" s="140" t="n">
        <v>66</v>
      </c>
      <c r="M61" s="117" t="inlineStr">
        <is>
          <t>Phi Co</t>
        </is>
      </c>
      <c r="N61" s="117" t="inlineStr">
        <is>
          <t>Enterprise (&gt;$200K)</t>
        </is>
      </c>
      <c r="O61" s="117" t="inlineStr">
        <is>
          <t>Direct</t>
        </is>
      </c>
      <c r="P61" s="119">
        <f>H61*0.08</f>
        <v/>
      </c>
      <c r="Q61" s="139" t="n">
        <v>0.04</v>
      </c>
      <c r="R61" s="117" t="inlineStr">
        <is>
          <t>Q4 deal - Direct channel</t>
        </is>
      </c>
    </row>
    <row r="62" ht="15" customHeight="1" s="77">
      <c r="A62" s="108" t="inlineStr">
        <is>
          <t>2025-09-25</t>
        </is>
      </c>
      <c r="B62" s="108" t="inlineStr">
        <is>
          <t>September</t>
        </is>
      </c>
      <c r="C62" s="108" t="inlineStr">
        <is>
          <t>Sarah Johnson</t>
        </is>
      </c>
      <c r="D62" s="108" t="inlineStr">
        <is>
          <t>North</t>
        </is>
      </c>
      <c r="E62" s="108" t="inlineStr">
        <is>
          <t>Product A</t>
        </is>
      </c>
      <c r="F62" s="108" t="inlineStr">
        <is>
          <t>Enterprise</t>
        </is>
      </c>
      <c r="G62" s="109" t="n">
        <v>15</v>
      </c>
      <c r="H62" s="110" t="n">
        <v>299985</v>
      </c>
      <c r="I62" s="110" t="n">
        <v>273755</v>
      </c>
      <c r="J62" s="110" t="n">
        <v>259143</v>
      </c>
      <c r="K62" s="108" t="inlineStr">
        <is>
          <t>In Progress</t>
        </is>
      </c>
      <c r="L62" s="138" t="n">
        <v>55</v>
      </c>
      <c r="M62" s="108" t="inlineStr">
        <is>
          <t>Acme Corp</t>
        </is>
      </c>
      <c r="N62" s="108" t="inlineStr">
        <is>
          <t>Enterprise (&gt;$200K)</t>
        </is>
      </c>
      <c r="O62" s="108" t="inlineStr">
        <is>
          <t>Referral</t>
        </is>
      </c>
      <c r="P62" s="110">
        <f>H62*0.08</f>
        <v/>
      </c>
      <c r="Q62" s="137" t="n">
        <v>0.11</v>
      </c>
      <c r="R62" s="108" t="inlineStr">
        <is>
          <t>Q1 deal - Referral channel</t>
        </is>
      </c>
    </row>
    <row r="63" ht="15" customHeight="1" s="77">
      <c r="A63" s="117" t="inlineStr">
        <is>
          <t>2025-09-25</t>
        </is>
      </c>
      <c r="B63" s="117" t="inlineStr">
        <is>
          <t>September</t>
        </is>
      </c>
      <c r="C63" s="117" t="inlineStr">
        <is>
          <t>Mike Chen</t>
        </is>
      </c>
      <c r="D63" s="117" t="inlineStr">
        <is>
          <t>West</t>
        </is>
      </c>
      <c r="E63" s="117" t="inlineStr">
        <is>
          <t>Product B</t>
        </is>
      </c>
      <c r="F63" s="117" t="inlineStr">
        <is>
          <t>SMB</t>
        </is>
      </c>
      <c r="G63" s="118" t="n">
        <v>35</v>
      </c>
      <c r="H63" s="119" t="n">
        <v>1749965</v>
      </c>
      <c r="I63" s="119" t="n">
        <v>1665078</v>
      </c>
      <c r="J63" s="119" t="n">
        <v>1748790</v>
      </c>
      <c r="K63" s="117" t="inlineStr">
        <is>
          <t>In Progress</t>
        </is>
      </c>
      <c r="L63" s="140" t="n">
        <v>40</v>
      </c>
      <c r="M63" s="117" t="inlineStr">
        <is>
          <t>Beta Inc</t>
        </is>
      </c>
      <c r="N63" s="117" t="inlineStr">
        <is>
          <t>Enterprise (&gt;$200K)</t>
        </is>
      </c>
      <c r="O63" s="117" t="inlineStr">
        <is>
          <t>Cold Call</t>
        </is>
      </c>
      <c r="P63" s="119">
        <f>H63*0.08</f>
        <v/>
      </c>
      <c r="Q63" s="139" t="n">
        <v>0.1</v>
      </c>
      <c r="R63" s="117" t="inlineStr">
        <is>
          <t>Q2 deal - Cold Call channel</t>
        </is>
      </c>
    </row>
    <row r="64" ht="15" customHeight="1" s="77">
      <c r="A64" s="108" t="inlineStr">
        <is>
          <t>2025-08-19</t>
        </is>
      </c>
      <c r="B64" s="108" t="inlineStr">
        <is>
          <t>August</t>
        </is>
      </c>
      <c r="C64" s="108" t="inlineStr">
        <is>
          <t>Priya Sharma</t>
        </is>
      </c>
      <c r="D64" s="108" t="inlineStr">
        <is>
          <t>East</t>
        </is>
      </c>
      <c r="E64" s="108" t="inlineStr">
        <is>
          <t>Product C</t>
        </is>
      </c>
      <c r="F64" s="108" t="inlineStr">
        <is>
          <t>Mid-Market</t>
        </is>
      </c>
      <c r="G64" s="109" t="n">
        <v>50</v>
      </c>
      <c r="H64" s="110" t="n">
        <v>999950</v>
      </c>
      <c r="I64" s="110" t="n">
        <v>922328</v>
      </c>
      <c r="J64" s="110" t="n">
        <v>963633</v>
      </c>
      <c r="K64" s="108" t="inlineStr">
        <is>
          <t>Won</t>
        </is>
      </c>
      <c r="L64" s="138" t="n">
        <v>95</v>
      </c>
      <c r="M64" s="108" t="inlineStr">
        <is>
          <t>Gamma LLC</t>
        </is>
      </c>
      <c r="N64" s="108" t="inlineStr">
        <is>
          <t>Enterprise (&gt;$200K)</t>
        </is>
      </c>
      <c r="O64" s="108" t="inlineStr">
        <is>
          <t>LinkedIn</t>
        </is>
      </c>
      <c r="P64" s="110">
        <f>H64*0.08</f>
        <v/>
      </c>
      <c r="Q64" s="137" t="n">
        <v>0.12</v>
      </c>
      <c r="R64" s="108" t="inlineStr">
        <is>
          <t>Q3 deal - LinkedIn channel</t>
        </is>
      </c>
    </row>
    <row r="65" ht="15" customHeight="1" s="77">
      <c r="A65" s="117" t="inlineStr">
        <is>
          <t>2025-05-19</t>
        </is>
      </c>
      <c r="B65" s="117" t="inlineStr">
        <is>
          <t>May</t>
        </is>
      </c>
      <c r="C65" s="117" t="inlineStr">
        <is>
          <t>James Williams</t>
        </is>
      </c>
      <c r="D65" s="117" t="inlineStr">
        <is>
          <t>South</t>
        </is>
      </c>
      <c r="E65" s="117" t="inlineStr">
        <is>
          <t>Product D</t>
        </is>
      </c>
      <c r="F65" s="117" t="inlineStr">
        <is>
          <t>Startup</t>
        </is>
      </c>
      <c r="G65" s="118" t="n">
        <v>20</v>
      </c>
      <c r="H65" s="119" t="n">
        <v>399980</v>
      </c>
      <c r="I65" s="119" t="n">
        <v>469345</v>
      </c>
      <c r="J65" s="119" t="n">
        <v>417442</v>
      </c>
      <c r="K65" s="117" t="inlineStr">
        <is>
          <t>Won</t>
        </is>
      </c>
      <c r="L65" s="140" t="n">
        <v>95</v>
      </c>
      <c r="M65" s="117" t="inlineStr">
        <is>
          <t>Delta Ltd</t>
        </is>
      </c>
      <c r="N65" s="117" t="inlineStr">
        <is>
          <t>Enterprise (&gt;$200K)</t>
        </is>
      </c>
      <c r="O65" s="117" t="inlineStr">
        <is>
          <t>Trade Show</t>
        </is>
      </c>
      <c r="P65" s="119">
        <f>H65*0.08</f>
        <v/>
      </c>
      <c r="Q65" s="139" t="n">
        <v>0.14</v>
      </c>
      <c r="R65" s="117" t="inlineStr">
        <is>
          <t>Q4 deal - Trade Show channel</t>
        </is>
      </c>
    </row>
    <row r="66" ht="15" customHeight="1" s="77">
      <c r="A66" s="108" t="inlineStr">
        <is>
          <t>2025-05-16</t>
        </is>
      </c>
      <c r="B66" s="108" t="inlineStr">
        <is>
          <t>May</t>
        </is>
      </c>
      <c r="C66" s="108" t="inlineStr">
        <is>
          <t>Emily Davis</t>
        </is>
      </c>
      <c r="D66" s="108" t="inlineStr">
        <is>
          <t>Central</t>
        </is>
      </c>
      <c r="E66" s="108" t="inlineStr">
        <is>
          <t>Product E</t>
        </is>
      </c>
      <c r="F66" s="108" t="inlineStr">
        <is>
          <t>Government</t>
        </is>
      </c>
      <c r="G66" s="109" t="n">
        <v>24</v>
      </c>
      <c r="H66" s="110" t="n">
        <v>359976</v>
      </c>
      <c r="I66" s="110" t="n">
        <v>423719</v>
      </c>
      <c r="J66" s="110" t="n">
        <v>316158</v>
      </c>
      <c r="K66" s="108" t="inlineStr">
        <is>
          <t>Won</t>
        </is>
      </c>
      <c r="L66" s="138" t="n">
        <v>71</v>
      </c>
      <c r="M66" s="108" t="inlineStr">
        <is>
          <t>Epsilon Co</t>
        </is>
      </c>
      <c r="N66" s="108" t="inlineStr">
        <is>
          <t>Enterprise (&gt;$200K)</t>
        </is>
      </c>
      <c r="O66" s="108" t="inlineStr">
        <is>
          <t>Website</t>
        </is>
      </c>
      <c r="P66" s="110">
        <f>H66*0.08</f>
        <v/>
      </c>
      <c r="Q66" s="137" t="n">
        <v>0.09</v>
      </c>
      <c r="R66" s="108" t="inlineStr">
        <is>
          <t>Q1 deal - Website channel</t>
        </is>
      </c>
    </row>
    <row r="67" ht="15" customHeight="1" s="77">
      <c r="A67" s="117" t="inlineStr">
        <is>
          <t>2025-03-14</t>
        </is>
      </c>
      <c r="B67" s="117" t="inlineStr">
        <is>
          <t>March</t>
        </is>
      </c>
      <c r="C67" s="117" t="inlineStr">
        <is>
          <t>Carlos Ruiz</t>
        </is>
      </c>
      <c r="D67" s="117" t="inlineStr">
        <is>
          <t>International</t>
        </is>
      </c>
      <c r="E67" s="117" t="inlineStr">
        <is>
          <t>Product F</t>
        </is>
      </c>
      <c r="F67" s="117" t="inlineStr">
        <is>
          <t>Enterprise</t>
        </is>
      </c>
      <c r="G67" s="118" t="n">
        <v>18</v>
      </c>
      <c r="H67" s="119" t="n">
        <v>359982</v>
      </c>
      <c r="I67" s="119" t="n">
        <v>362210</v>
      </c>
      <c r="J67" s="119" t="n">
        <v>373990</v>
      </c>
      <c r="K67" s="117" t="inlineStr">
        <is>
          <t>Won</t>
        </is>
      </c>
      <c r="L67" s="140" t="n">
        <v>57</v>
      </c>
      <c r="M67" s="117" t="inlineStr">
        <is>
          <t>Zeta Corp</t>
        </is>
      </c>
      <c r="N67" s="117" t="inlineStr">
        <is>
          <t>Enterprise (&gt;$200K)</t>
        </is>
      </c>
      <c r="O67" s="117" t="inlineStr">
        <is>
          <t>Partner</t>
        </is>
      </c>
      <c r="P67" s="119">
        <f>H67*0.08</f>
        <v/>
      </c>
      <c r="Q67" s="139" t="n">
        <v>0.08</v>
      </c>
      <c r="R67" s="117" t="inlineStr">
        <is>
          <t>Q2 deal - Partner channel</t>
        </is>
      </c>
    </row>
    <row r="68" ht="15" customHeight="1" s="77">
      <c r="A68" s="108" t="inlineStr">
        <is>
          <t>2025-05-08</t>
        </is>
      </c>
      <c r="B68" s="108" t="inlineStr">
        <is>
          <t>May</t>
        </is>
      </c>
      <c r="C68" s="108" t="inlineStr">
        <is>
          <t>Lisa Park</t>
        </is>
      </c>
      <c r="D68" s="108" t="inlineStr">
        <is>
          <t>North</t>
        </is>
      </c>
      <c r="E68" s="108" t="inlineStr">
        <is>
          <t>Product G</t>
        </is>
      </c>
      <c r="F68" s="108" t="inlineStr">
        <is>
          <t>SMB</t>
        </is>
      </c>
      <c r="G68" s="109" t="n">
        <v>16</v>
      </c>
      <c r="H68" s="110" t="n">
        <v>399984</v>
      </c>
      <c r="I68" s="110" t="n">
        <v>369746</v>
      </c>
      <c r="J68" s="110" t="n">
        <v>347128</v>
      </c>
      <c r="K68" s="108" t="inlineStr">
        <is>
          <t>Lost</t>
        </is>
      </c>
      <c r="L68" s="138" t="n">
        <v>30</v>
      </c>
      <c r="M68" s="108" t="inlineStr">
        <is>
          <t>Eta Inc</t>
        </is>
      </c>
      <c r="N68" s="108" t="inlineStr">
        <is>
          <t>Enterprise (&gt;$200K)</t>
        </is>
      </c>
      <c r="O68" s="108" t="inlineStr">
        <is>
          <t>Email Campaign</t>
        </is>
      </c>
      <c r="P68" s="110">
        <f>H68*0.08</f>
        <v/>
      </c>
      <c r="Q68" s="137" t="n">
        <v>0.05</v>
      </c>
      <c r="R68" s="108" t="inlineStr">
        <is>
          <t>Q3 deal - Email Campaign channel</t>
        </is>
      </c>
    </row>
    <row r="69" ht="15" customHeight="1" s="77">
      <c r="A69" s="117" t="inlineStr">
        <is>
          <t>2025-10-11</t>
        </is>
      </c>
      <c r="B69" s="117" t="inlineStr">
        <is>
          <t>October</t>
        </is>
      </c>
      <c r="C69" s="117" t="inlineStr">
        <is>
          <t>Tom Brown</t>
        </is>
      </c>
      <c r="D69" s="117" t="inlineStr">
        <is>
          <t>West</t>
        </is>
      </c>
      <c r="E69" s="117" t="inlineStr">
        <is>
          <t>Product H</t>
        </is>
      </c>
      <c r="F69" s="117" t="inlineStr">
        <is>
          <t>Mid-Market</t>
        </is>
      </c>
      <c r="G69" s="118" t="n">
        <v>38</v>
      </c>
      <c r="H69" s="119" t="n">
        <v>379962</v>
      </c>
      <c r="I69" s="119" t="n">
        <v>371746</v>
      </c>
      <c r="J69" s="119" t="n">
        <v>388806</v>
      </c>
      <c r="K69" s="117" t="inlineStr">
        <is>
          <t>In Progress</t>
        </is>
      </c>
      <c r="L69" s="140" t="n">
        <v>26</v>
      </c>
      <c r="M69" s="117" t="inlineStr">
        <is>
          <t>Theta LLC</t>
        </is>
      </c>
      <c r="N69" s="117" t="inlineStr">
        <is>
          <t>Enterprise (&gt;$200K)</t>
        </is>
      </c>
      <c r="O69" s="117" t="inlineStr">
        <is>
          <t>Webinar</t>
        </is>
      </c>
      <c r="P69" s="119">
        <f>H69*0.08</f>
        <v/>
      </c>
      <c r="Q69" s="139" t="n">
        <v>0.04</v>
      </c>
      <c r="R69" s="117" t="inlineStr">
        <is>
          <t>Q4 deal - Webinar channel</t>
        </is>
      </c>
    </row>
    <row r="70" ht="15" customHeight="1" s="77">
      <c r="A70" s="108" t="inlineStr">
        <is>
          <t>2025-02-13</t>
        </is>
      </c>
      <c r="B70" s="108" t="inlineStr">
        <is>
          <t>February</t>
        </is>
      </c>
      <c r="C70" s="108" t="inlineStr">
        <is>
          <t>Anna Schmidt</t>
        </is>
      </c>
      <c r="D70" s="108" t="inlineStr">
        <is>
          <t>East</t>
        </is>
      </c>
      <c r="E70" s="108" t="inlineStr">
        <is>
          <t>Product I</t>
        </is>
      </c>
      <c r="F70" s="108" t="inlineStr">
        <is>
          <t>Startup</t>
        </is>
      </c>
      <c r="G70" s="109" t="n">
        <v>36</v>
      </c>
      <c r="H70" s="110" t="n">
        <v>179964</v>
      </c>
      <c r="I70" s="110" t="n">
        <v>172188</v>
      </c>
      <c r="J70" s="110" t="n">
        <v>173697</v>
      </c>
      <c r="K70" s="108" t="inlineStr">
        <is>
          <t>In Progress</t>
        </is>
      </c>
      <c r="L70" s="138" t="n">
        <v>62</v>
      </c>
      <c r="M70" s="108" t="inlineStr">
        <is>
          <t>Iota Ltd</t>
        </is>
      </c>
      <c r="N70" s="108" t="inlineStr">
        <is>
          <t>Large ($50K-$200K)</t>
        </is>
      </c>
      <c r="O70" s="108" t="inlineStr">
        <is>
          <t>SEO</t>
        </is>
      </c>
      <c r="P70" s="110">
        <f>H70*0.08</f>
        <v/>
      </c>
      <c r="Q70" s="137" t="n">
        <v>0.13</v>
      </c>
      <c r="R70" s="108" t="inlineStr">
        <is>
          <t>Q1 deal - SEO channel</t>
        </is>
      </c>
    </row>
    <row r="71" ht="15" customHeight="1" s="77">
      <c r="A71" s="117" t="inlineStr">
        <is>
          <t>2025-12-30</t>
        </is>
      </c>
      <c r="B71" s="117" t="inlineStr">
        <is>
          <t>December</t>
        </is>
      </c>
      <c r="C71" s="117" t="inlineStr">
        <is>
          <t>David Kim</t>
        </is>
      </c>
      <c r="D71" s="117" t="inlineStr">
        <is>
          <t>South</t>
        </is>
      </c>
      <c r="E71" s="117" t="inlineStr">
        <is>
          <t>Product J</t>
        </is>
      </c>
      <c r="F71" s="117" t="inlineStr">
        <is>
          <t>Government</t>
        </is>
      </c>
      <c r="G71" s="118" t="n">
        <v>46</v>
      </c>
      <c r="H71" s="119" t="n">
        <v>689954</v>
      </c>
      <c r="I71" s="119" t="n">
        <v>791200</v>
      </c>
      <c r="J71" s="119" t="n">
        <v>614809</v>
      </c>
      <c r="K71" s="117" t="inlineStr">
        <is>
          <t>Won</t>
        </is>
      </c>
      <c r="L71" s="140" t="n">
        <v>109</v>
      </c>
      <c r="M71" s="117" t="inlineStr">
        <is>
          <t>Kappa Co</t>
        </is>
      </c>
      <c r="N71" s="117" t="inlineStr">
        <is>
          <t>Enterprise (&gt;$200K)</t>
        </is>
      </c>
      <c r="O71" s="117" t="inlineStr">
        <is>
          <t>Direct</t>
        </is>
      </c>
      <c r="P71" s="119">
        <f>H71*0.08</f>
        <v/>
      </c>
      <c r="Q71" s="139" t="n">
        <v>0.04</v>
      </c>
      <c r="R71" s="117" t="inlineStr">
        <is>
          <t>Q2 deal - Direct channel</t>
        </is>
      </c>
    </row>
    <row r="72" ht="15" customHeight="1" s="77">
      <c r="A72" s="108" t="inlineStr">
        <is>
          <t>2025-10-11</t>
        </is>
      </c>
      <c r="B72" s="108" t="inlineStr">
        <is>
          <t>October</t>
        </is>
      </c>
      <c r="C72" s="108" t="inlineStr">
        <is>
          <t>Rachel Green</t>
        </is>
      </c>
      <c r="D72" s="108" t="inlineStr">
        <is>
          <t>Central</t>
        </is>
      </c>
      <c r="E72" s="108" t="inlineStr">
        <is>
          <t>Product A</t>
        </is>
      </c>
      <c r="F72" s="108" t="inlineStr">
        <is>
          <t>Enterprise</t>
        </is>
      </c>
      <c r="G72" s="109" t="n">
        <v>22</v>
      </c>
      <c r="H72" s="110" t="n">
        <v>329978</v>
      </c>
      <c r="I72" s="110" t="n">
        <v>374940</v>
      </c>
      <c r="J72" s="110" t="n">
        <v>315817</v>
      </c>
      <c r="K72" s="108" t="inlineStr">
        <is>
          <t>Won</t>
        </is>
      </c>
      <c r="L72" s="138" t="n">
        <v>83</v>
      </c>
      <c r="M72" s="108" t="inlineStr">
        <is>
          <t>Lambda Corp</t>
        </is>
      </c>
      <c r="N72" s="108" t="inlineStr">
        <is>
          <t>Enterprise (&gt;$200K)</t>
        </is>
      </c>
      <c r="O72" s="108" t="inlineStr">
        <is>
          <t>Referral</t>
        </is>
      </c>
      <c r="P72" s="110">
        <f>H72*0.08</f>
        <v/>
      </c>
      <c r="Q72" s="137" t="n">
        <v>0.11</v>
      </c>
      <c r="R72" s="108" t="inlineStr">
        <is>
          <t>Q3 deal - Referral channel</t>
        </is>
      </c>
    </row>
    <row r="73" ht="15" customHeight="1" s="77">
      <c r="A73" s="117" t="inlineStr">
        <is>
          <t>2025-06-21</t>
        </is>
      </c>
      <c r="B73" s="117" t="inlineStr">
        <is>
          <t>June</t>
        </is>
      </c>
      <c r="C73" s="117" t="inlineStr">
        <is>
          <t>Mark Thompson</t>
        </is>
      </c>
      <c r="D73" s="117" t="inlineStr">
        <is>
          <t>International</t>
        </is>
      </c>
      <c r="E73" s="117" t="inlineStr">
        <is>
          <t>Product B</t>
        </is>
      </c>
      <c r="F73" s="117" t="inlineStr">
        <is>
          <t>SMB</t>
        </is>
      </c>
      <c r="G73" s="118" t="n">
        <v>8</v>
      </c>
      <c r="H73" s="119" t="n">
        <v>199992</v>
      </c>
      <c r="I73" s="119" t="n">
        <v>180414</v>
      </c>
      <c r="J73" s="119" t="n">
        <v>186119</v>
      </c>
      <c r="K73" s="117" t="inlineStr">
        <is>
          <t>Won</t>
        </is>
      </c>
      <c r="L73" s="140" t="n">
        <v>92</v>
      </c>
      <c r="M73" s="117" t="inlineStr">
        <is>
          <t>Mu Inc</t>
        </is>
      </c>
      <c r="N73" s="117" t="inlineStr">
        <is>
          <t>Large ($50K-$200K)</t>
        </is>
      </c>
      <c r="O73" s="117" t="inlineStr">
        <is>
          <t>Cold Call</t>
        </is>
      </c>
      <c r="P73" s="119">
        <f>H73*0.08</f>
        <v/>
      </c>
      <c r="Q73" s="139" t="n">
        <v>0.01</v>
      </c>
      <c r="R73" s="117" t="inlineStr">
        <is>
          <t>Q4 deal - Cold Call channel</t>
        </is>
      </c>
    </row>
    <row r="74" ht="15" customHeight="1" s="77">
      <c r="A74" s="108" t="inlineStr">
        <is>
          <t>2025-10-29</t>
        </is>
      </c>
      <c r="B74" s="108" t="inlineStr">
        <is>
          <t>October</t>
        </is>
      </c>
      <c r="C74" s="108" t="inlineStr">
        <is>
          <t>Susan Lee</t>
        </is>
      </c>
      <c r="D74" s="108" t="inlineStr">
        <is>
          <t>North</t>
        </is>
      </c>
      <c r="E74" s="108" t="inlineStr">
        <is>
          <t>Product C</t>
        </is>
      </c>
      <c r="F74" s="108" t="inlineStr">
        <is>
          <t>Mid-Market</t>
        </is>
      </c>
      <c r="G74" s="109" t="n">
        <v>27</v>
      </c>
      <c r="H74" s="110" t="n">
        <v>809973</v>
      </c>
      <c r="I74" s="110" t="n">
        <v>953684</v>
      </c>
      <c r="J74" s="110" t="n">
        <v>839237</v>
      </c>
      <c r="K74" s="108" t="inlineStr">
        <is>
          <t>Won</t>
        </is>
      </c>
      <c r="L74" s="138" t="n">
        <v>118</v>
      </c>
      <c r="M74" s="108" t="inlineStr">
        <is>
          <t>Nu LLC</t>
        </is>
      </c>
      <c r="N74" s="108" t="inlineStr">
        <is>
          <t>Enterprise (&gt;$200K)</t>
        </is>
      </c>
      <c r="O74" s="108" t="inlineStr">
        <is>
          <t>LinkedIn</t>
        </is>
      </c>
      <c r="P74" s="110">
        <f>H74*0.08</f>
        <v/>
      </c>
      <c r="Q74" s="137" t="n">
        <v>0</v>
      </c>
      <c r="R74" s="108" t="inlineStr">
        <is>
          <t>Q1 deal - LinkedIn channel</t>
        </is>
      </c>
    </row>
    <row r="75" ht="15" customHeight="1" s="77">
      <c r="A75" s="117" t="inlineStr">
        <is>
          <t>2025-10-06</t>
        </is>
      </c>
      <c r="B75" s="117" t="inlineStr">
        <is>
          <t>October</t>
        </is>
      </c>
      <c r="C75" s="117" t="inlineStr">
        <is>
          <t>Kevin Martin</t>
        </is>
      </c>
      <c r="D75" s="117" t="inlineStr">
        <is>
          <t>West</t>
        </is>
      </c>
      <c r="E75" s="117" t="inlineStr">
        <is>
          <t>Product D</t>
        </is>
      </c>
      <c r="F75" s="117" t="inlineStr">
        <is>
          <t>Startup</t>
        </is>
      </c>
      <c r="G75" s="118" t="n">
        <v>36</v>
      </c>
      <c r="H75" s="119" t="n">
        <v>359964</v>
      </c>
      <c r="I75" s="119" t="n">
        <v>371959</v>
      </c>
      <c r="J75" s="119" t="n">
        <v>375980</v>
      </c>
      <c r="K75" s="117" t="inlineStr">
        <is>
          <t>Lost</t>
        </is>
      </c>
      <c r="L75" s="140" t="n">
        <v>94</v>
      </c>
      <c r="M75" s="117" t="inlineStr">
        <is>
          <t>Xi Ltd</t>
        </is>
      </c>
      <c r="N75" s="117" t="inlineStr">
        <is>
          <t>Enterprise (&gt;$200K)</t>
        </is>
      </c>
      <c r="O75" s="117" t="inlineStr">
        <is>
          <t>Trade Show</t>
        </is>
      </c>
      <c r="P75" s="119">
        <f>H75*0.08</f>
        <v/>
      </c>
      <c r="Q75" s="139" t="n">
        <v>0.09</v>
      </c>
      <c r="R75" s="117" t="inlineStr">
        <is>
          <t>Q2 deal - Trade Show channel</t>
        </is>
      </c>
    </row>
    <row r="76" ht="15" customHeight="1" s="77">
      <c r="A76" s="108" t="inlineStr">
        <is>
          <t>2025-03-11</t>
        </is>
      </c>
      <c r="B76" s="108" t="inlineStr">
        <is>
          <t>March</t>
        </is>
      </c>
      <c r="C76" s="108" t="inlineStr">
        <is>
          <t>Nina Patel</t>
        </is>
      </c>
      <c r="D76" s="108" t="inlineStr">
        <is>
          <t>East</t>
        </is>
      </c>
      <c r="E76" s="108" t="inlineStr">
        <is>
          <t>Product E</t>
        </is>
      </c>
      <c r="F76" s="108" t="inlineStr">
        <is>
          <t>Government</t>
        </is>
      </c>
      <c r="G76" s="109" t="n">
        <v>2</v>
      </c>
      <c r="H76" s="110" t="n">
        <v>9998</v>
      </c>
      <c r="I76" s="110" t="n">
        <v>9784</v>
      </c>
      <c r="J76" s="110" t="n">
        <v>10452</v>
      </c>
      <c r="K76" s="108" t="inlineStr">
        <is>
          <t>In Progress</t>
        </is>
      </c>
      <c r="L76" s="138" t="n">
        <v>28</v>
      </c>
      <c r="M76" s="108" t="inlineStr">
        <is>
          <t>Pi Co</t>
        </is>
      </c>
      <c r="N76" s="108" t="inlineStr">
        <is>
          <t>Small (&lt;$10K)</t>
        </is>
      </c>
      <c r="O76" s="108" t="inlineStr">
        <is>
          <t>Website</t>
        </is>
      </c>
      <c r="P76" s="110">
        <f>H76*0.08</f>
        <v/>
      </c>
      <c r="Q76" s="137" t="n">
        <v>0.02</v>
      </c>
      <c r="R76" s="108" t="inlineStr">
        <is>
          <t>Q3 deal - Website channel</t>
        </is>
      </c>
    </row>
    <row r="77" ht="15" customHeight="1" s="77">
      <c r="A77" s="117" t="inlineStr">
        <is>
          <t>2025-02-27</t>
        </is>
      </c>
      <c r="B77" s="117" t="inlineStr">
        <is>
          <t>February</t>
        </is>
      </c>
      <c r="C77" s="117" t="inlineStr">
        <is>
          <t>Chris Wilson</t>
        </is>
      </c>
      <c r="D77" s="117" t="inlineStr">
        <is>
          <t>South</t>
        </is>
      </c>
      <c r="E77" s="117" t="inlineStr">
        <is>
          <t>Product F</t>
        </is>
      </c>
      <c r="F77" s="117" t="inlineStr">
        <is>
          <t>Enterprise</t>
        </is>
      </c>
      <c r="G77" s="118" t="n">
        <v>1</v>
      </c>
      <c r="H77" s="119" t="n">
        <v>9999</v>
      </c>
      <c r="I77" s="119" t="n">
        <v>10454</v>
      </c>
      <c r="J77" s="119" t="n">
        <v>9158</v>
      </c>
      <c r="K77" s="117" t="inlineStr">
        <is>
          <t>In Progress</t>
        </is>
      </c>
      <c r="L77" s="140" t="n">
        <v>44</v>
      </c>
      <c r="M77" s="117" t="inlineStr">
        <is>
          <t>Rho Corp</t>
        </is>
      </c>
      <c r="N77" s="117" t="inlineStr">
        <is>
          <t>Small (&lt;$10K)</t>
        </is>
      </c>
      <c r="O77" s="117" t="inlineStr">
        <is>
          <t>Partner</t>
        </is>
      </c>
      <c r="P77" s="119">
        <f>H77*0.08</f>
        <v/>
      </c>
      <c r="Q77" s="139" t="n">
        <v>0.15</v>
      </c>
      <c r="R77" s="117" t="inlineStr">
        <is>
          <t>Q4 deal - Partner channel</t>
        </is>
      </c>
    </row>
    <row r="78" ht="15" customHeight="1" s="77">
      <c r="A78" s="108" t="inlineStr">
        <is>
          <t>2025-09-15</t>
        </is>
      </c>
      <c r="B78" s="108" t="inlineStr">
        <is>
          <t>September</t>
        </is>
      </c>
      <c r="C78" s="108" t="inlineStr">
        <is>
          <t>Amanda Foster</t>
        </is>
      </c>
      <c r="D78" s="108" t="inlineStr">
        <is>
          <t>Central</t>
        </is>
      </c>
      <c r="E78" s="108" t="inlineStr">
        <is>
          <t>Product G</t>
        </is>
      </c>
      <c r="F78" s="108" t="inlineStr">
        <is>
          <t>SMB</t>
        </is>
      </c>
      <c r="G78" s="109" t="n">
        <v>21</v>
      </c>
      <c r="H78" s="110" t="n">
        <v>167979</v>
      </c>
      <c r="I78" s="110" t="n">
        <v>155376</v>
      </c>
      <c r="J78" s="110" t="n">
        <v>176493</v>
      </c>
      <c r="K78" s="108" t="inlineStr">
        <is>
          <t>Won</t>
        </is>
      </c>
      <c r="L78" s="138" t="n">
        <v>60</v>
      </c>
      <c r="M78" s="108" t="inlineStr">
        <is>
          <t>Sigma Inc</t>
        </is>
      </c>
      <c r="N78" s="108" t="inlineStr">
        <is>
          <t>Large ($50K-$200K)</t>
        </is>
      </c>
      <c r="O78" s="108" t="inlineStr">
        <is>
          <t>Email Campaign</t>
        </is>
      </c>
      <c r="P78" s="110">
        <f>H78*0.08</f>
        <v/>
      </c>
      <c r="Q78" s="137" t="n">
        <v>0.15</v>
      </c>
      <c r="R78" s="108" t="inlineStr">
        <is>
          <t>Q1 deal - Email Campaign channel</t>
        </is>
      </c>
    </row>
    <row r="79" ht="15" customHeight="1" s="77">
      <c r="A79" s="117" t="inlineStr">
        <is>
          <t>2025-09-07</t>
        </is>
      </c>
      <c r="B79" s="117" t="inlineStr">
        <is>
          <t>September</t>
        </is>
      </c>
      <c r="C79" s="117" t="inlineStr">
        <is>
          <t>Robert Taylor</t>
        </is>
      </c>
      <c r="D79" s="117" t="inlineStr">
        <is>
          <t>International</t>
        </is>
      </c>
      <c r="E79" s="117" t="inlineStr">
        <is>
          <t>Product H</t>
        </is>
      </c>
      <c r="F79" s="117" t="inlineStr">
        <is>
          <t>Mid-Market</t>
        </is>
      </c>
      <c r="G79" s="118" t="n">
        <v>19</v>
      </c>
      <c r="H79" s="119" t="n">
        <v>151981</v>
      </c>
      <c r="I79" s="119" t="n">
        <v>174359</v>
      </c>
      <c r="J79" s="119" t="n">
        <v>135778</v>
      </c>
      <c r="K79" s="117" t="inlineStr">
        <is>
          <t>Won</t>
        </is>
      </c>
      <c r="L79" s="140" t="n">
        <v>26</v>
      </c>
      <c r="M79" s="117" t="inlineStr">
        <is>
          <t>Tau LLC</t>
        </is>
      </c>
      <c r="N79" s="117" t="inlineStr">
        <is>
          <t>Large ($50K-$200K)</t>
        </is>
      </c>
      <c r="O79" s="117" t="inlineStr">
        <is>
          <t>Webinar</t>
        </is>
      </c>
      <c r="P79" s="119">
        <f>H79*0.08</f>
        <v/>
      </c>
      <c r="Q79" s="139" t="n">
        <v>0.13</v>
      </c>
      <c r="R79" s="117" t="inlineStr">
        <is>
          <t>Q2 deal - Webinar channel</t>
        </is>
      </c>
    </row>
    <row r="80" ht="15" customHeight="1" s="77">
      <c r="A80" s="108" t="inlineStr">
        <is>
          <t>2025-07-11</t>
        </is>
      </c>
      <c r="B80" s="108" t="inlineStr">
        <is>
          <t>July</t>
        </is>
      </c>
      <c r="C80" s="108" t="inlineStr">
        <is>
          <t>Jennifer Moore</t>
        </is>
      </c>
      <c r="D80" s="108" t="inlineStr">
        <is>
          <t>North</t>
        </is>
      </c>
      <c r="E80" s="108" t="inlineStr">
        <is>
          <t>Product I</t>
        </is>
      </c>
      <c r="F80" s="108" t="inlineStr">
        <is>
          <t>Startup</t>
        </is>
      </c>
      <c r="G80" s="109" t="n">
        <v>8</v>
      </c>
      <c r="H80" s="110" t="n">
        <v>399992</v>
      </c>
      <c r="I80" s="110" t="n">
        <v>442114</v>
      </c>
      <c r="J80" s="110" t="n">
        <v>359458</v>
      </c>
      <c r="K80" s="108" t="inlineStr">
        <is>
          <t>Won</t>
        </is>
      </c>
      <c r="L80" s="138" t="n">
        <v>111</v>
      </c>
      <c r="M80" s="108" t="inlineStr">
        <is>
          <t>Upsilon Ltd</t>
        </is>
      </c>
      <c r="N80" s="108" t="inlineStr">
        <is>
          <t>Enterprise (&gt;$200K)</t>
        </is>
      </c>
      <c r="O80" s="108" t="inlineStr">
        <is>
          <t>SEO</t>
        </is>
      </c>
      <c r="P80" s="110">
        <f>H80*0.08</f>
        <v/>
      </c>
      <c r="Q80" s="137" t="n">
        <v>0.1</v>
      </c>
      <c r="R80" s="108" t="inlineStr">
        <is>
          <t>Q3 deal - SEO channel</t>
        </is>
      </c>
    </row>
    <row r="81" ht="15" customHeight="1" s="77">
      <c r="A81" s="117" t="inlineStr">
        <is>
          <t>2025-07-21</t>
        </is>
      </c>
      <c r="B81" s="117" t="inlineStr">
        <is>
          <t>July</t>
        </is>
      </c>
      <c r="C81" s="117" t="inlineStr">
        <is>
          <t>Daniel Jackson</t>
        </is>
      </c>
      <c r="D81" s="117" t="inlineStr">
        <is>
          <t>West</t>
        </is>
      </c>
      <c r="E81" s="117" t="inlineStr">
        <is>
          <t>Product J</t>
        </is>
      </c>
      <c r="F81" s="117" t="inlineStr">
        <is>
          <t>Government</t>
        </is>
      </c>
      <c r="G81" s="118" t="n">
        <v>37</v>
      </c>
      <c r="H81" s="119" t="n">
        <v>1109963</v>
      </c>
      <c r="I81" s="119" t="n">
        <v>1090421</v>
      </c>
      <c r="J81" s="119" t="n">
        <v>1159234</v>
      </c>
      <c r="K81" s="117" t="inlineStr">
        <is>
          <t>Won</t>
        </is>
      </c>
      <c r="L81" s="140" t="n">
        <v>39</v>
      </c>
      <c r="M81" s="117" t="inlineStr">
        <is>
          <t>Phi Co</t>
        </is>
      </c>
      <c r="N81" s="117" t="inlineStr">
        <is>
          <t>Enterprise (&gt;$200K)</t>
        </is>
      </c>
      <c r="O81" s="117" t="inlineStr">
        <is>
          <t>Direct</t>
        </is>
      </c>
      <c r="P81" s="119">
        <f>H81*0.08</f>
        <v/>
      </c>
      <c r="Q81" s="139" t="n">
        <v>0.03</v>
      </c>
      <c r="R81" s="117" t="inlineStr">
        <is>
          <t>Q4 deal - Direct channel</t>
        </is>
      </c>
    </row>
    <row r="82" ht="15" customHeight="1" s="77">
      <c r="A82" s="108" t="inlineStr">
        <is>
          <t>2025-12-03</t>
        </is>
      </c>
      <c r="B82" s="108" t="inlineStr">
        <is>
          <t>December</t>
        </is>
      </c>
      <c r="C82" s="108" t="inlineStr">
        <is>
          <t>Sarah Johnson</t>
        </is>
      </c>
      <c r="D82" s="108" t="inlineStr">
        <is>
          <t>North</t>
        </is>
      </c>
      <c r="E82" s="108" t="inlineStr">
        <is>
          <t>Product A</t>
        </is>
      </c>
      <c r="F82" s="108" t="inlineStr">
        <is>
          <t>Enterprise</t>
        </is>
      </c>
      <c r="G82" s="109" t="n">
        <v>1</v>
      </c>
      <c r="H82" s="110" t="n">
        <v>49999</v>
      </c>
      <c r="I82" s="110" t="n">
        <v>45983</v>
      </c>
      <c r="J82" s="110" t="n">
        <v>43269</v>
      </c>
      <c r="K82" s="108" t="inlineStr">
        <is>
          <t>Lost</t>
        </is>
      </c>
      <c r="L82" s="138" t="n">
        <v>54</v>
      </c>
      <c r="M82" s="108" t="inlineStr">
        <is>
          <t>Acme Corp</t>
        </is>
      </c>
      <c r="N82" s="108" t="inlineStr">
        <is>
          <t>Medium ($10K-$50K)</t>
        </is>
      </c>
      <c r="O82" s="108" t="inlineStr">
        <is>
          <t>Referral</t>
        </is>
      </c>
      <c r="P82" s="110">
        <f>H82*0.08</f>
        <v/>
      </c>
      <c r="Q82" s="137" t="n">
        <v>0.11</v>
      </c>
      <c r="R82" s="108" t="inlineStr">
        <is>
          <t>Q1 deal - Referral channel</t>
        </is>
      </c>
    </row>
    <row r="83" ht="15" customHeight="1" s="77">
      <c r="A83" s="117" t="inlineStr">
        <is>
          <t>2025-04-05</t>
        </is>
      </c>
      <c r="B83" s="117" t="inlineStr">
        <is>
          <t>April</t>
        </is>
      </c>
      <c r="C83" s="117" t="inlineStr">
        <is>
          <t>Mike Chen</t>
        </is>
      </c>
      <c r="D83" s="117" t="inlineStr">
        <is>
          <t>West</t>
        </is>
      </c>
      <c r="E83" s="117" t="inlineStr">
        <is>
          <t>Product B</t>
        </is>
      </c>
      <c r="F83" s="117" t="inlineStr">
        <is>
          <t>SMB</t>
        </is>
      </c>
      <c r="G83" s="118" t="n">
        <v>31</v>
      </c>
      <c r="H83" s="119" t="n">
        <v>247969</v>
      </c>
      <c r="I83" s="119" t="n">
        <v>251511</v>
      </c>
      <c r="J83" s="119" t="n">
        <v>240459</v>
      </c>
      <c r="K83" s="117" t="inlineStr">
        <is>
          <t>In Progress</t>
        </is>
      </c>
      <c r="L83" s="140" t="n">
        <v>26</v>
      </c>
      <c r="M83" s="117" t="inlineStr">
        <is>
          <t>Beta Inc</t>
        </is>
      </c>
      <c r="N83" s="117" t="inlineStr">
        <is>
          <t>Enterprise (&gt;$200K)</t>
        </is>
      </c>
      <c r="O83" s="117" t="inlineStr">
        <is>
          <t>Cold Call</t>
        </is>
      </c>
      <c r="P83" s="119">
        <f>H83*0.08</f>
        <v/>
      </c>
      <c r="Q83" s="139" t="n">
        <v>0.04</v>
      </c>
      <c r="R83" s="117" t="inlineStr">
        <is>
          <t>Q2 deal - Cold Call channel</t>
        </is>
      </c>
    </row>
    <row r="84" ht="15" customHeight="1" s="77">
      <c r="A84" s="108" t="inlineStr">
        <is>
          <t>2025-10-04</t>
        </is>
      </c>
      <c r="B84" s="108" t="inlineStr">
        <is>
          <t>October</t>
        </is>
      </c>
      <c r="C84" s="108" t="inlineStr">
        <is>
          <t>Priya Sharma</t>
        </is>
      </c>
      <c r="D84" s="108" t="inlineStr">
        <is>
          <t>East</t>
        </is>
      </c>
      <c r="E84" s="108" t="inlineStr">
        <is>
          <t>Product C</t>
        </is>
      </c>
      <c r="F84" s="108" t="inlineStr">
        <is>
          <t>Mid-Market</t>
        </is>
      </c>
      <c r="G84" s="109" t="n">
        <v>1</v>
      </c>
      <c r="H84" s="110" t="n">
        <v>7999</v>
      </c>
      <c r="I84" s="110" t="n">
        <v>8629</v>
      </c>
      <c r="J84" s="110" t="n">
        <v>6980</v>
      </c>
      <c r="K84" s="108" t="inlineStr">
        <is>
          <t>In Progress</t>
        </is>
      </c>
      <c r="L84" s="138" t="n">
        <v>74</v>
      </c>
      <c r="M84" s="108" t="inlineStr">
        <is>
          <t>Gamma LLC</t>
        </is>
      </c>
      <c r="N84" s="108" t="inlineStr">
        <is>
          <t>Small (&lt;$10K)</t>
        </is>
      </c>
      <c r="O84" s="108" t="inlineStr">
        <is>
          <t>LinkedIn</t>
        </is>
      </c>
      <c r="P84" s="110">
        <f>H84*0.08</f>
        <v/>
      </c>
      <c r="Q84" s="137" t="n">
        <v>0.11</v>
      </c>
      <c r="R84" s="108" t="inlineStr">
        <is>
          <t>Q3 deal - LinkedIn channel</t>
        </is>
      </c>
    </row>
    <row r="85" ht="15" customHeight="1" s="77">
      <c r="A85" s="117" t="inlineStr">
        <is>
          <t>2025-05-12</t>
        </is>
      </c>
      <c r="B85" s="117" t="inlineStr">
        <is>
          <t>May</t>
        </is>
      </c>
      <c r="C85" s="117" t="inlineStr">
        <is>
          <t>James Williams</t>
        </is>
      </c>
      <c r="D85" s="117" t="inlineStr">
        <is>
          <t>South</t>
        </is>
      </c>
      <c r="E85" s="117" t="inlineStr">
        <is>
          <t>Product D</t>
        </is>
      </c>
      <c r="F85" s="117" t="inlineStr">
        <is>
          <t>Startup</t>
        </is>
      </c>
      <c r="G85" s="118" t="n">
        <v>38</v>
      </c>
      <c r="H85" s="119" t="n">
        <v>949962</v>
      </c>
      <c r="I85" s="119" t="n">
        <v>985895</v>
      </c>
      <c r="J85" s="119" t="n">
        <v>827556</v>
      </c>
      <c r="K85" s="117" t="inlineStr">
        <is>
          <t>Won</t>
        </is>
      </c>
      <c r="L85" s="140" t="n">
        <v>49</v>
      </c>
      <c r="M85" s="117" t="inlineStr">
        <is>
          <t>Delta Ltd</t>
        </is>
      </c>
      <c r="N85" s="117" t="inlineStr">
        <is>
          <t>Enterprise (&gt;$200K)</t>
        </is>
      </c>
      <c r="O85" s="117" t="inlineStr">
        <is>
          <t>Trade Show</t>
        </is>
      </c>
      <c r="P85" s="119">
        <f>H85*0.08</f>
        <v/>
      </c>
      <c r="Q85" s="139" t="n">
        <v>0.14</v>
      </c>
      <c r="R85" s="117" t="inlineStr">
        <is>
          <t>Q4 deal - Trade Show channel</t>
        </is>
      </c>
    </row>
    <row r="86" ht="15" customHeight="1" s="77">
      <c r="A86" s="108" t="inlineStr">
        <is>
          <t>2025-08-07</t>
        </is>
      </c>
      <c r="B86" s="108" t="inlineStr">
        <is>
          <t>August</t>
        </is>
      </c>
      <c r="C86" s="108" t="inlineStr">
        <is>
          <t>Emily Davis</t>
        </is>
      </c>
      <c r="D86" s="108" t="inlineStr">
        <is>
          <t>Central</t>
        </is>
      </c>
      <c r="E86" s="108" t="inlineStr">
        <is>
          <t>Product E</t>
        </is>
      </c>
      <c r="F86" s="108" t="inlineStr">
        <is>
          <t>Government</t>
        </is>
      </c>
      <c r="G86" s="109" t="n">
        <v>1</v>
      </c>
      <c r="H86" s="110" t="n">
        <v>7999</v>
      </c>
      <c r="I86" s="110" t="n">
        <v>8355</v>
      </c>
      <c r="J86" s="110" t="n">
        <v>8412</v>
      </c>
      <c r="K86" s="108" t="inlineStr">
        <is>
          <t>Won</t>
        </is>
      </c>
      <c r="L86" s="138" t="n">
        <v>106</v>
      </c>
      <c r="M86" s="108" t="inlineStr">
        <is>
          <t>Epsilon Co</t>
        </is>
      </c>
      <c r="N86" s="108" t="inlineStr">
        <is>
          <t>Small (&lt;$10K)</t>
        </is>
      </c>
      <c r="O86" s="108" t="inlineStr">
        <is>
          <t>Website</t>
        </is>
      </c>
      <c r="P86" s="110">
        <f>H86*0.08</f>
        <v/>
      </c>
      <c r="Q86" s="137" t="n">
        <v>0.11</v>
      </c>
      <c r="R86" s="108" t="inlineStr">
        <is>
          <t>Q1 deal - Website channel</t>
        </is>
      </c>
    </row>
    <row r="87" ht="15" customHeight="1" s="77">
      <c r="A87" s="117" t="inlineStr">
        <is>
          <t>2025-08-29</t>
        </is>
      </c>
      <c r="B87" s="117" t="inlineStr">
        <is>
          <t>August</t>
        </is>
      </c>
      <c r="C87" s="117" t="inlineStr">
        <is>
          <t>Carlos Ruiz</t>
        </is>
      </c>
      <c r="D87" s="117" t="inlineStr">
        <is>
          <t>International</t>
        </is>
      </c>
      <c r="E87" s="117" t="inlineStr">
        <is>
          <t>Product F</t>
        </is>
      </c>
      <c r="F87" s="117" t="inlineStr">
        <is>
          <t>Enterprise</t>
        </is>
      </c>
      <c r="G87" s="118" t="n">
        <v>37</v>
      </c>
      <c r="H87" s="119" t="n">
        <v>554963</v>
      </c>
      <c r="I87" s="119" t="n">
        <v>618548</v>
      </c>
      <c r="J87" s="119" t="n">
        <v>510935</v>
      </c>
      <c r="K87" s="117" t="inlineStr">
        <is>
          <t>Won</t>
        </is>
      </c>
      <c r="L87" s="140" t="n">
        <v>7</v>
      </c>
      <c r="M87" s="117" t="inlineStr">
        <is>
          <t>Zeta Corp</t>
        </is>
      </c>
      <c r="N87" s="117" t="inlineStr">
        <is>
          <t>Enterprise (&gt;$200K)</t>
        </is>
      </c>
      <c r="O87" s="117" t="inlineStr">
        <is>
          <t>Partner</t>
        </is>
      </c>
      <c r="P87" s="119">
        <f>H87*0.08</f>
        <v/>
      </c>
      <c r="Q87" s="139" t="n">
        <v>0.14</v>
      </c>
      <c r="R87" s="117" t="inlineStr">
        <is>
          <t>Q2 deal - Partner channel</t>
        </is>
      </c>
    </row>
    <row r="88" ht="15" customHeight="1" s="77">
      <c r="A88" s="108" t="inlineStr">
        <is>
          <t>2025-11-30</t>
        </is>
      </c>
      <c r="B88" s="108" t="inlineStr">
        <is>
          <t>November</t>
        </is>
      </c>
      <c r="C88" s="108" t="inlineStr">
        <is>
          <t>Lisa Park</t>
        </is>
      </c>
      <c r="D88" s="108" t="inlineStr">
        <is>
          <t>North</t>
        </is>
      </c>
      <c r="E88" s="108" t="inlineStr">
        <is>
          <t>Product G</t>
        </is>
      </c>
      <c r="F88" s="108" t="inlineStr">
        <is>
          <t>SMB</t>
        </is>
      </c>
      <c r="G88" s="109" t="n">
        <v>34</v>
      </c>
      <c r="H88" s="110" t="n">
        <v>1019966</v>
      </c>
      <c r="I88" s="110" t="n">
        <v>1200686</v>
      </c>
      <c r="J88" s="110" t="n">
        <v>969083</v>
      </c>
      <c r="K88" s="108" t="inlineStr">
        <is>
          <t>Won</t>
        </is>
      </c>
      <c r="L88" s="138" t="n">
        <v>74</v>
      </c>
      <c r="M88" s="108" t="inlineStr">
        <is>
          <t>Eta Inc</t>
        </is>
      </c>
      <c r="N88" s="108" t="inlineStr">
        <is>
          <t>Enterprise (&gt;$200K)</t>
        </is>
      </c>
      <c r="O88" s="108" t="inlineStr">
        <is>
          <t>Email Campaign</t>
        </is>
      </c>
      <c r="P88" s="110">
        <f>H88*0.08</f>
        <v/>
      </c>
      <c r="Q88" s="137" t="n">
        <v>0.11</v>
      </c>
      <c r="R88" s="108" t="inlineStr">
        <is>
          <t>Q3 deal - Email Campaign channel</t>
        </is>
      </c>
    </row>
    <row r="89" ht="15" customHeight="1" s="77">
      <c r="A89" s="117" t="inlineStr">
        <is>
          <t>2025-04-24</t>
        </is>
      </c>
      <c r="B89" s="117" t="inlineStr">
        <is>
          <t>April</t>
        </is>
      </c>
      <c r="C89" s="117" t="inlineStr">
        <is>
          <t>Tom Brown</t>
        </is>
      </c>
      <c r="D89" s="117" t="inlineStr">
        <is>
          <t>West</t>
        </is>
      </c>
      <c r="E89" s="117" t="inlineStr">
        <is>
          <t>Product H</t>
        </is>
      </c>
      <c r="F89" s="117" t="inlineStr">
        <is>
          <t>Mid-Market</t>
        </is>
      </c>
      <c r="G89" s="118" t="n">
        <v>38</v>
      </c>
      <c r="H89" s="119" t="n">
        <v>949962</v>
      </c>
      <c r="I89" s="119" t="n">
        <v>911935</v>
      </c>
      <c r="J89" s="119" t="n">
        <v>980479</v>
      </c>
      <c r="K89" s="117" t="inlineStr">
        <is>
          <t>Lost</t>
        </is>
      </c>
      <c r="L89" s="140" t="n">
        <v>94</v>
      </c>
      <c r="M89" s="117" t="inlineStr">
        <is>
          <t>Theta LLC</t>
        </is>
      </c>
      <c r="N89" s="117" t="inlineStr">
        <is>
          <t>Enterprise (&gt;$200K)</t>
        </is>
      </c>
      <c r="O89" s="117" t="inlineStr">
        <is>
          <t>Webinar</t>
        </is>
      </c>
      <c r="P89" s="119">
        <f>H89*0.08</f>
        <v/>
      </c>
      <c r="Q89" s="139" t="n">
        <v>0</v>
      </c>
      <c r="R89" s="117" t="inlineStr">
        <is>
          <t>Q4 deal - Webinar channel</t>
        </is>
      </c>
    </row>
    <row r="90" ht="15" customHeight="1" s="77">
      <c r="A90" s="108" t="inlineStr">
        <is>
          <t>2025-08-12</t>
        </is>
      </c>
      <c r="B90" s="108" t="inlineStr">
        <is>
          <t>August</t>
        </is>
      </c>
      <c r="C90" s="108" t="inlineStr">
        <is>
          <t>Anna Schmidt</t>
        </is>
      </c>
      <c r="D90" s="108" t="inlineStr">
        <is>
          <t>East</t>
        </is>
      </c>
      <c r="E90" s="108" t="inlineStr">
        <is>
          <t>Product I</t>
        </is>
      </c>
      <c r="F90" s="108" t="inlineStr">
        <is>
          <t>Startup</t>
        </is>
      </c>
      <c r="G90" s="109" t="n">
        <v>41</v>
      </c>
      <c r="H90" s="110" t="n">
        <v>409959</v>
      </c>
      <c r="I90" s="110" t="n">
        <v>427058</v>
      </c>
      <c r="J90" s="110" t="n">
        <v>359362</v>
      </c>
      <c r="K90" s="108" t="inlineStr">
        <is>
          <t>In Progress</t>
        </is>
      </c>
      <c r="L90" s="138" t="n">
        <v>17</v>
      </c>
      <c r="M90" s="108" t="inlineStr">
        <is>
          <t>Iota Ltd</t>
        </is>
      </c>
      <c r="N90" s="108" t="inlineStr">
        <is>
          <t>Enterprise (&gt;$200K)</t>
        </is>
      </c>
      <c r="O90" s="108" t="inlineStr">
        <is>
          <t>SEO</t>
        </is>
      </c>
      <c r="P90" s="110">
        <f>H90*0.08</f>
        <v/>
      </c>
      <c r="Q90" s="137" t="n">
        <v>0.01</v>
      </c>
      <c r="R90" s="108" t="inlineStr">
        <is>
          <t>Q1 deal - SEO channel</t>
        </is>
      </c>
    </row>
    <row r="91" ht="15" customHeight="1" s="77">
      <c r="A91" s="117" t="inlineStr">
        <is>
          <t>2025-10-06</t>
        </is>
      </c>
      <c r="B91" s="117" t="inlineStr">
        <is>
          <t>October</t>
        </is>
      </c>
      <c r="C91" s="117" t="inlineStr">
        <is>
          <t>David Kim</t>
        </is>
      </c>
      <c r="D91" s="117" t="inlineStr">
        <is>
          <t>South</t>
        </is>
      </c>
      <c r="E91" s="117" t="inlineStr">
        <is>
          <t>Product J</t>
        </is>
      </c>
      <c r="F91" s="117" t="inlineStr">
        <is>
          <t>Government</t>
        </is>
      </c>
      <c r="G91" s="118" t="n">
        <v>28</v>
      </c>
      <c r="H91" s="119" t="n">
        <v>559972</v>
      </c>
      <c r="I91" s="119" t="n">
        <v>535465</v>
      </c>
      <c r="J91" s="119" t="n">
        <v>488270</v>
      </c>
      <c r="K91" s="117" t="inlineStr">
        <is>
          <t>In Progress</t>
        </is>
      </c>
      <c r="L91" s="140" t="n">
        <v>95</v>
      </c>
      <c r="M91" s="117" t="inlineStr">
        <is>
          <t>Kappa Co</t>
        </is>
      </c>
      <c r="N91" s="117" t="inlineStr">
        <is>
          <t>Enterprise (&gt;$200K)</t>
        </is>
      </c>
      <c r="O91" s="117" t="inlineStr">
        <is>
          <t>Direct</t>
        </is>
      </c>
      <c r="P91" s="119">
        <f>H91*0.08</f>
        <v/>
      </c>
      <c r="Q91" s="139" t="n">
        <v>0.02</v>
      </c>
      <c r="R91" s="117" t="inlineStr">
        <is>
          <t>Q2 deal - Direct channel</t>
        </is>
      </c>
    </row>
    <row r="92" ht="15" customHeight="1" s="77">
      <c r="A92" s="108" t="inlineStr">
        <is>
          <t>2025-10-07</t>
        </is>
      </c>
      <c r="B92" s="108" t="inlineStr">
        <is>
          <t>October</t>
        </is>
      </c>
      <c r="C92" s="108" t="inlineStr">
        <is>
          <t>Rachel Green</t>
        </is>
      </c>
      <c r="D92" s="108" t="inlineStr">
        <is>
          <t>Central</t>
        </is>
      </c>
      <c r="E92" s="108" t="inlineStr">
        <is>
          <t>Product A</t>
        </is>
      </c>
      <c r="F92" s="108" t="inlineStr">
        <is>
          <t>Enterprise</t>
        </is>
      </c>
      <c r="G92" s="109" t="n">
        <v>7</v>
      </c>
      <c r="H92" s="110" t="n">
        <v>104993</v>
      </c>
      <c r="I92" s="110" t="n">
        <v>114651</v>
      </c>
      <c r="J92" s="110" t="n">
        <v>99240</v>
      </c>
      <c r="K92" s="108" t="inlineStr">
        <is>
          <t>Won</t>
        </is>
      </c>
      <c r="L92" s="138" t="n">
        <v>38</v>
      </c>
      <c r="M92" s="108" t="inlineStr">
        <is>
          <t>Lambda Corp</t>
        </is>
      </c>
      <c r="N92" s="108" t="inlineStr">
        <is>
          <t>Large ($50K-$200K)</t>
        </is>
      </c>
      <c r="O92" s="108" t="inlineStr">
        <is>
          <t>Referral</t>
        </is>
      </c>
      <c r="P92" s="110">
        <f>H92*0.08</f>
        <v/>
      </c>
      <c r="Q92" s="137" t="n">
        <v>0.08</v>
      </c>
      <c r="R92" s="108" t="inlineStr">
        <is>
          <t>Q3 deal - Referral channel</t>
        </is>
      </c>
    </row>
    <row r="93" ht="15" customHeight="1" s="77">
      <c r="A93" s="117" t="inlineStr">
        <is>
          <t>2025-05-30</t>
        </is>
      </c>
      <c r="B93" s="117" t="inlineStr">
        <is>
          <t>May</t>
        </is>
      </c>
      <c r="C93" s="117" t="inlineStr">
        <is>
          <t>Mark Thompson</t>
        </is>
      </c>
      <c r="D93" s="117" t="inlineStr">
        <is>
          <t>International</t>
        </is>
      </c>
      <c r="E93" s="117" t="inlineStr">
        <is>
          <t>Product B</t>
        </is>
      </c>
      <c r="F93" s="117" t="inlineStr">
        <is>
          <t>SMB</t>
        </is>
      </c>
      <c r="G93" s="118" t="n">
        <v>2</v>
      </c>
      <c r="H93" s="119" t="n">
        <v>9998</v>
      </c>
      <c r="I93" s="119" t="n">
        <v>11092</v>
      </c>
      <c r="J93" s="119" t="n">
        <v>10231</v>
      </c>
      <c r="K93" s="117" t="inlineStr">
        <is>
          <t>Won</t>
        </is>
      </c>
      <c r="L93" s="140" t="n">
        <v>77</v>
      </c>
      <c r="M93" s="117" t="inlineStr">
        <is>
          <t>Mu Inc</t>
        </is>
      </c>
      <c r="N93" s="117" t="inlineStr">
        <is>
          <t>Small (&lt;$10K)</t>
        </is>
      </c>
      <c r="O93" s="117" t="inlineStr">
        <is>
          <t>Cold Call</t>
        </is>
      </c>
      <c r="P93" s="119">
        <f>H93*0.08</f>
        <v/>
      </c>
      <c r="Q93" s="139" t="n">
        <v>0.09</v>
      </c>
      <c r="R93" s="117" t="inlineStr">
        <is>
          <t>Q4 deal - Cold Call channel</t>
        </is>
      </c>
    </row>
    <row r="94" ht="15" customHeight="1" s="77">
      <c r="A94" s="108" t="inlineStr">
        <is>
          <t>2025-11-12</t>
        </is>
      </c>
      <c r="B94" s="108" t="inlineStr">
        <is>
          <t>November</t>
        </is>
      </c>
      <c r="C94" s="108" t="inlineStr">
        <is>
          <t>Susan Lee</t>
        </is>
      </c>
      <c r="D94" s="108" t="inlineStr">
        <is>
          <t>North</t>
        </is>
      </c>
      <c r="E94" s="108" t="inlineStr">
        <is>
          <t>Product C</t>
        </is>
      </c>
      <c r="F94" s="108" t="inlineStr">
        <is>
          <t>Mid-Market</t>
        </is>
      </c>
      <c r="G94" s="109" t="n">
        <v>10</v>
      </c>
      <c r="H94" s="110" t="n">
        <v>199990</v>
      </c>
      <c r="I94" s="110" t="n">
        <v>221304</v>
      </c>
      <c r="J94" s="110" t="n">
        <v>212121</v>
      </c>
      <c r="K94" s="108" t="inlineStr">
        <is>
          <t>Won</t>
        </is>
      </c>
      <c r="L94" s="138" t="n">
        <v>111</v>
      </c>
      <c r="M94" s="108" t="inlineStr">
        <is>
          <t>Nu LLC</t>
        </is>
      </c>
      <c r="N94" s="108" t="inlineStr">
        <is>
          <t>Large ($50K-$200K)</t>
        </is>
      </c>
      <c r="O94" s="108" t="inlineStr">
        <is>
          <t>LinkedIn</t>
        </is>
      </c>
      <c r="P94" s="110">
        <f>H94*0.08</f>
        <v/>
      </c>
      <c r="Q94" s="137" t="n">
        <v>0.09</v>
      </c>
      <c r="R94" s="108" t="inlineStr">
        <is>
          <t>Q1 deal - LinkedIn channel</t>
        </is>
      </c>
    </row>
    <row r="95" ht="15" customHeight="1" s="77">
      <c r="A95" s="117" t="inlineStr">
        <is>
          <t>2025-01-31</t>
        </is>
      </c>
      <c r="B95" s="117" t="inlineStr">
        <is>
          <t>January</t>
        </is>
      </c>
      <c r="C95" s="117" t="inlineStr">
        <is>
          <t>Kevin Martin</t>
        </is>
      </c>
      <c r="D95" s="117" t="inlineStr">
        <is>
          <t>West</t>
        </is>
      </c>
      <c r="E95" s="117" t="inlineStr">
        <is>
          <t>Product D</t>
        </is>
      </c>
      <c r="F95" s="117" t="inlineStr">
        <is>
          <t>Startup</t>
        </is>
      </c>
      <c r="G95" s="118" t="n">
        <v>6</v>
      </c>
      <c r="H95" s="119" t="n">
        <v>179994</v>
      </c>
      <c r="I95" s="119" t="n">
        <v>191528</v>
      </c>
      <c r="J95" s="119" t="n">
        <v>169326</v>
      </c>
      <c r="K95" s="117" t="inlineStr">
        <is>
          <t>Won</t>
        </is>
      </c>
      <c r="L95" s="140" t="n">
        <v>61</v>
      </c>
      <c r="M95" s="117" t="inlineStr">
        <is>
          <t>Xi Ltd</t>
        </is>
      </c>
      <c r="N95" s="117" t="inlineStr">
        <is>
          <t>Large ($50K-$200K)</t>
        </is>
      </c>
      <c r="O95" s="117" t="inlineStr">
        <is>
          <t>Trade Show</t>
        </is>
      </c>
      <c r="P95" s="119">
        <f>H95*0.08</f>
        <v/>
      </c>
      <c r="Q95" s="139" t="n">
        <v>0.14</v>
      </c>
      <c r="R95" s="117" t="inlineStr">
        <is>
          <t>Q2 deal - Trade Show channel</t>
        </is>
      </c>
    </row>
    <row r="96" ht="15" customHeight="1" s="77">
      <c r="A96" s="108" t="inlineStr">
        <is>
          <t>2025-06-23</t>
        </is>
      </c>
      <c r="B96" s="108" t="inlineStr">
        <is>
          <t>June</t>
        </is>
      </c>
      <c r="C96" s="108" t="inlineStr">
        <is>
          <t>Nina Patel</t>
        </is>
      </c>
      <c r="D96" s="108" t="inlineStr">
        <is>
          <t>East</t>
        </is>
      </c>
      <c r="E96" s="108" t="inlineStr">
        <is>
          <t>Product E</t>
        </is>
      </c>
      <c r="F96" s="108" t="inlineStr">
        <is>
          <t>Government</t>
        </is>
      </c>
      <c r="G96" s="109" t="n">
        <v>10</v>
      </c>
      <c r="H96" s="110" t="n">
        <v>79990</v>
      </c>
      <c r="I96" s="110" t="n">
        <v>77082</v>
      </c>
      <c r="J96" s="110" t="n">
        <v>71783</v>
      </c>
      <c r="K96" s="108" t="inlineStr">
        <is>
          <t>Lost</t>
        </is>
      </c>
      <c r="L96" s="138" t="n">
        <v>25</v>
      </c>
      <c r="M96" s="108" t="inlineStr">
        <is>
          <t>Pi Co</t>
        </is>
      </c>
      <c r="N96" s="108" t="inlineStr">
        <is>
          <t>Large ($50K-$200K)</t>
        </is>
      </c>
      <c r="O96" s="108" t="inlineStr">
        <is>
          <t>Website</t>
        </is>
      </c>
      <c r="P96" s="110">
        <f>H96*0.08</f>
        <v/>
      </c>
      <c r="Q96" s="137" t="n">
        <v>0.06</v>
      </c>
      <c r="R96" s="108" t="inlineStr">
        <is>
          <t>Q3 deal - Website channel</t>
        </is>
      </c>
    </row>
    <row r="97" ht="15" customHeight="1" s="77">
      <c r="A97" s="117" t="inlineStr">
        <is>
          <t>2025-11-18</t>
        </is>
      </c>
      <c r="B97" s="117" t="inlineStr">
        <is>
          <t>November</t>
        </is>
      </c>
      <c r="C97" s="117" t="inlineStr">
        <is>
          <t>Chris Wilson</t>
        </is>
      </c>
      <c r="D97" s="117" t="inlineStr">
        <is>
          <t>South</t>
        </is>
      </c>
      <c r="E97" s="117" t="inlineStr">
        <is>
          <t>Product F</t>
        </is>
      </c>
      <c r="F97" s="117" t="inlineStr">
        <is>
          <t>Enterprise</t>
        </is>
      </c>
      <c r="G97" s="118" t="n">
        <v>24</v>
      </c>
      <c r="H97" s="119" t="n">
        <v>719976</v>
      </c>
      <c r="I97" s="119" t="n">
        <v>836667</v>
      </c>
      <c r="J97" s="119" t="n">
        <v>778578</v>
      </c>
      <c r="K97" s="117" t="inlineStr">
        <is>
          <t>In Progress</t>
        </is>
      </c>
      <c r="L97" s="140" t="n">
        <v>11</v>
      </c>
      <c r="M97" s="117" t="inlineStr">
        <is>
          <t>Rho Corp</t>
        </is>
      </c>
      <c r="N97" s="117" t="inlineStr">
        <is>
          <t>Enterprise (&gt;$200K)</t>
        </is>
      </c>
      <c r="O97" s="117" t="inlineStr">
        <is>
          <t>Partner</t>
        </is>
      </c>
      <c r="P97" s="119">
        <f>H97*0.08</f>
        <v/>
      </c>
      <c r="Q97" s="139" t="n">
        <v>0.09</v>
      </c>
      <c r="R97" s="117" t="inlineStr">
        <is>
          <t>Q4 deal - Partner channel</t>
        </is>
      </c>
    </row>
    <row r="98" ht="15" customHeight="1" s="77">
      <c r="A98" s="108" t="inlineStr">
        <is>
          <t>2025-01-05</t>
        </is>
      </c>
      <c r="B98" s="108" t="inlineStr">
        <is>
          <t>January</t>
        </is>
      </c>
      <c r="C98" s="108" t="inlineStr">
        <is>
          <t>Amanda Foster</t>
        </is>
      </c>
      <c r="D98" s="108" t="inlineStr">
        <is>
          <t>Central</t>
        </is>
      </c>
      <c r="E98" s="108" t="inlineStr">
        <is>
          <t>Product G</t>
        </is>
      </c>
      <c r="F98" s="108" t="inlineStr">
        <is>
          <t>SMB</t>
        </is>
      </c>
      <c r="G98" s="109" t="n">
        <v>32</v>
      </c>
      <c r="H98" s="110" t="n">
        <v>479968</v>
      </c>
      <c r="I98" s="110" t="n">
        <v>540627</v>
      </c>
      <c r="J98" s="110" t="n">
        <v>517838</v>
      </c>
      <c r="K98" s="108" t="inlineStr">
        <is>
          <t>In Progress</t>
        </is>
      </c>
      <c r="L98" s="138" t="n">
        <v>14</v>
      </c>
      <c r="M98" s="108" t="inlineStr">
        <is>
          <t>Sigma Inc</t>
        </is>
      </c>
      <c r="N98" s="108" t="inlineStr">
        <is>
          <t>Enterprise (&gt;$200K)</t>
        </is>
      </c>
      <c r="O98" s="108" t="inlineStr">
        <is>
          <t>Email Campaign</t>
        </is>
      </c>
      <c r="P98" s="110">
        <f>H98*0.08</f>
        <v/>
      </c>
      <c r="Q98" s="137" t="n">
        <v>0.02</v>
      </c>
      <c r="R98" s="108" t="inlineStr">
        <is>
          <t>Q1 deal - Email Campaign channel</t>
        </is>
      </c>
    </row>
    <row r="99" ht="15" customHeight="1" s="77">
      <c r="A99" s="117" t="inlineStr">
        <is>
          <t>2025-11-17</t>
        </is>
      </c>
      <c r="B99" s="117" t="inlineStr">
        <is>
          <t>November</t>
        </is>
      </c>
      <c r="C99" s="117" t="inlineStr">
        <is>
          <t>Robert Taylor</t>
        </is>
      </c>
      <c r="D99" s="117" t="inlineStr">
        <is>
          <t>International</t>
        </is>
      </c>
      <c r="E99" s="117" t="inlineStr">
        <is>
          <t>Product H</t>
        </is>
      </c>
      <c r="F99" s="117" t="inlineStr">
        <is>
          <t>Mid-Market</t>
        </is>
      </c>
      <c r="G99" s="118" t="n">
        <v>48</v>
      </c>
      <c r="H99" s="119" t="n">
        <v>2399952</v>
      </c>
      <c r="I99" s="119" t="n">
        <v>2750237</v>
      </c>
      <c r="J99" s="119" t="n">
        <v>2540556</v>
      </c>
      <c r="K99" s="117" t="inlineStr">
        <is>
          <t>Won</t>
        </is>
      </c>
      <c r="L99" s="140" t="n">
        <v>19</v>
      </c>
      <c r="M99" s="117" t="inlineStr">
        <is>
          <t>Tau LLC</t>
        </is>
      </c>
      <c r="N99" s="117" t="inlineStr">
        <is>
          <t>Enterprise (&gt;$200K)</t>
        </is>
      </c>
      <c r="O99" s="117" t="inlineStr">
        <is>
          <t>Webinar</t>
        </is>
      </c>
      <c r="P99" s="119">
        <f>H99*0.08</f>
        <v/>
      </c>
      <c r="Q99" s="139" t="n">
        <v>0.14</v>
      </c>
      <c r="R99" s="117" t="inlineStr">
        <is>
          <t>Q2 deal - Webinar channel</t>
        </is>
      </c>
    </row>
    <row r="100" ht="15" customHeight="1" s="77">
      <c r="A100" s="108" t="inlineStr">
        <is>
          <t>2025-09-05</t>
        </is>
      </c>
      <c r="B100" s="108" t="inlineStr">
        <is>
          <t>September</t>
        </is>
      </c>
      <c r="C100" s="108" t="inlineStr">
        <is>
          <t>Jennifer Moore</t>
        </is>
      </c>
      <c r="D100" s="108" t="inlineStr">
        <is>
          <t>North</t>
        </is>
      </c>
      <c r="E100" s="108" t="inlineStr">
        <is>
          <t>Product I</t>
        </is>
      </c>
      <c r="F100" s="108" t="inlineStr">
        <is>
          <t>Startup</t>
        </is>
      </c>
      <c r="G100" s="109" t="n">
        <v>15</v>
      </c>
      <c r="H100" s="110" t="n">
        <v>299985</v>
      </c>
      <c r="I100" s="110" t="n">
        <v>334561</v>
      </c>
      <c r="J100" s="110" t="n">
        <v>322223</v>
      </c>
      <c r="K100" s="108" t="inlineStr">
        <is>
          <t>Won</t>
        </is>
      </c>
      <c r="L100" s="138" t="n">
        <v>67</v>
      </c>
      <c r="M100" s="108" t="inlineStr">
        <is>
          <t>Upsilon Ltd</t>
        </is>
      </c>
      <c r="N100" s="108" t="inlineStr">
        <is>
          <t>Enterprise (&gt;$200K)</t>
        </is>
      </c>
      <c r="O100" s="108" t="inlineStr">
        <is>
          <t>SEO</t>
        </is>
      </c>
      <c r="P100" s="110">
        <f>H100*0.08</f>
        <v/>
      </c>
      <c r="Q100" s="137" t="n">
        <v>0.05</v>
      </c>
      <c r="R100" s="108" t="inlineStr">
        <is>
          <t>Q3 deal - SEO channel</t>
        </is>
      </c>
    </row>
    <row r="101" ht="15" customHeight="1" s="77">
      <c r="A101" s="117" t="inlineStr">
        <is>
          <t>2025-07-08</t>
        </is>
      </c>
      <c r="B101" s="117" t="inlineStr">
        <is>
          <t>July</t>
        </is>
      </c>
      <c r="C101" s="117" t="inlineStr">
        <is>
          <t>Daniel Jackson</t>
        </is>
      </c>
      <c r="D101" s="117" t="inlineStr">
        <is>
          <t>West</t>
        </is>
      </c>
      <c r="E101" s="117" t="inlineStr">
        <is>
          <t>Product J</t>
        </is>
      </c>
      <c r="F101" s="117" t="inlineStr">
        <is>
          <t>Government</t>
        </is>
      </c>
      <c r="G101" s="118" t="n">
        <v>47</v>
      </c>
      <c r="H101" s="119" t="n">
        <v>1409953</v>
      </c>
      <c r="I101" s="119" t="n">
        <v>1286550</v>
      </c>
      <c r="J101" s="119" t="n">
        <v>1224991</v>
      </c>
      <c r="K101" s="117" t="inlineStr">
        <is>
          <t>Won</t>
        </is>
      </c>
      <c r="L101" s="140" t="n">
        <v>110</v>
      </c>
      <c r="M101" s="117" t="inlineStr">
        <is>
          <t>Phi Co</t>
        </is>
      </c>
      <c r="N101" s="117" t="inlineStr">
        <is>
          <t>Enterprise (&gt;$200K)</t>
        </is>
      </c>
      <c r="O101" s="117" t="inlineStr">
        <is>
          <t>Direct</t>
        </is>
      </c>
      <c r="P101" s="119">
        <f>H101*0.08</f>
        <v/>
      </c>
      <c r="Q101" s="139" t="n">
        <v>0.08</v>
      </c>
      <c r="R101" s="117" t="inlineStr">
        <is>
          <t>Q4 deal - Direct channel</t>
        </is>
      </c>
    </row>
    <row r="102" ht="15" customHeight="1" s="77">
      <c r="A102" s="108" t="inlineStr">
        <is>
          <t>2025-01-29</t>
        </is>
      </c>
      <c r="B102" s="108" t="inlineStr">
        <is>
          <t>January</t>
        </is>
      </c>
      <c r="C102" s="108" t="inlineStr">
        <is>
          <t>Sarah Johnson</t>
        </is>
      </c>
      <c r="D102" s="108" t="inlineStr">
        <is>
          <t>North</t>
        </is>
      </c>
      <c r="E102" s="108" t="inlineStr">
        <is>
          <t>Product A</t>
        </is>
      </c>
      <c r="F102" s="108" t="inlineStr">
        <is>
          <t>Enterprise</t>
        </is>
      </c>
      <c r="G102" s="109" t="n">
        <v>14</v>
      </c>
      <c r="H102" s="110" t="n">
        <v>209986</v>
      </c>
      <c r="I102" s="110" t="n">
        <v>225290</v>
      </c>
      <c r="J102" s="110" t="n">
        <v>201467</v>
      </c>
      <c r="K102" s="108" t="inlineStr">
        <is>
          <t>Won</t>
        </is>
      </c>
      <c r="L102" s="138" t="n">
        <v>65</v>
      </c>
      <c r="M102" s="108" t="inlineStr">
        <is>
          <t>Acme Corp</t>
        </is>
      </c>
      <c r="N102" s="108" t="inlineStr">
        <is>
          <t>Enterprise (&gt;$200K)</t>
        </is>
      </c>
      <c r="O102" s="108" t="inlineStr">
        <is>
          <t>Referral</t>
        </is>
      </c>
      <c r="P102" s="110">
        <f>H102*0.08</f>
        <v/>
      </c>
      <c r="Q102" s="137" t="n">
        <v>0.1</v>
      </c>
      <c r="R102" s="108" t="inlineStr">
        <is>
          <t>Q1 deal - Referral channel</t>
        </is>
      </c>
    </row>
    <row r="103" ht="15" customHeight="1" s="77">
      <c r="A103" s="117" t="inlineStr">
        <is>
          <t>2025-01-06</t>
        </is>
      </c>
      <c r="B103" s="117" t="inlineStr">
        <is>
          <t>January</t>
        </is>
      </c>
      <c r="C103" s="117" t="inlineStr">
        <is>
          <t>Mike Chen</t>
        </is>
      </c>
      <c r="D103" s="117" t="inlineStr">
        <is>
          <t>West</t>
        </is>
      </c>
      <c r="E103" s="117" t="inlineStr">
        <is>
          <t>Product B</t>
        </is>
      </c>
      <c r="F103" s="117" t="inlineStr">
        <is>
          <t>SMB</t>
        </is>
      </c>
      <c r="G103" s="118" t="n">
        <v>14</v>
      </c>
      <c r="H103" s="119" t="n">
        <v>69986</v>
      </c>
      <c r="I103" s="119" t="n">
        <v>66009</v>
      </c>
      <c r="J103" s="119" t="n">
        <v>71816</v>
      </c>
      <c r="K103" s="117" t="inlineStr">
        <is>
          <t>Lost</t>
        </is>
      </c>
      <c r="L103" s="140" t="n">
        <v>52</v>
      </c>
      <c r="M103" s="117" t="inlineStr">
        <is>
          <t>Beta Inc</t>
        </is>
      </c>
      <c r="N103" s="117" t="inlineStr">
        <is>
          <t>Large ($50K-$200K)</t>
        </is>
      </c>
      <c r="O103" s="117" t="inlineStr">
        <is>
          <t>Cold Call</t>
        </is>
      </c>
      <c r="P103" s="119">
        <f>H103*0.08</f>
        <v/>
      </c>
      <c r="Q103" s="139" t="n">
        <v>0.11</v>
      </c>
      <c r="R103" s="117" t="inlineStr">
        <is>
          <t>Q2 deal - Cold Call channel</t>
        </is>
      </c>
    </row>
    <row r="104" ht="15" customHeight="1" s="77">
      <c r="A104" s="108" t="inlineStr">
        <is>
          <t>2025-10-26</t>
        </is>
      </c>
      <c r="B104" s="108" t="inlineStr">
        <is>
          <t>October</t>
        </is>
      </c>
      <c r="C104" s="108" t="inlineStr">
        <is>
          <t>Priya Sharma</t>
        </is>
      </c>
      <c r="D104" s="108" t="inlineStr">
        <is>
          <t>East</t>
        </is>
      </c>
      <c r="E104" s="108" t="inlineStr">
        <is>
          <t>Product C</t>
        </is>
      </c>
      <c r="F104" s="108" t="inlineStr">
        <is>
          <t>Mid-Market</t>
        </is>
      </c>
      <c r="G104" s="109" t="n">
        <v>47</v>
      </c>
      <c r="H104" s="110" t="n">
        <v>469953</v>
      </c>
      <c r="I104" s="110" t="n">
        <v>450329</v>
      </c>
      <c r="J104" s="110" t="n">
        <v>495136</v>
      </c>
      <c r="K104" s="108" t="inlineStr">
        <is>
          <t>In Progress</t>
        </is>
      </c>
      <c r="L104" s="138" t="n">
        <v>43</v>
      </c>
      <c r="M104" s="108" t="inlineStr">
        <is>
          <t>Gamma LLC</t>
        </is>
      </c>
      <c r="N104" s="108" t="inlineStr">
        <is>
          <t>Enterprise (&gt;$200K)</t>
        </is>
      </c>
      <c r="O104" s="108" t="inlineStr">
        <is>
          <t>LinkedIn</t>
        </is>
      </c>
      <c r="P104" s="110">
        <f>H104*0.08</f>
        <v/>
      </c>
      <c r="Q104" s="137" t="n">
        <v>0.11</v>
      </c>
      <c r="R104" s="108" t="inlineStr">
        <is>
          <t>Q3 deal - LinkedIn channel</t>
        </is>
      </c>
    </row>
    <row r="105" ht="15" customHeight="1" s="77">
      <c r="A105" s="117" t="inlineStr">
        <is>
          <t>2025-11-23</t>
        </is>
      </c>
      <c r="B105" s="117" t="inlineStr">
        <is>
          <t>November</t>
        </is>
      </c>
      <c r="C105" s="117" t="inlineStr">
        <is>
          <t>James Williams</t>
        </is>
      </c>
      <c r="D105" s="117" t="inlineStr">
        <is>
          <t>South</t>
        </is>
      </c>
      <c r="E105" s="117" t="inlineStr">
        <is>
          <t>Product D</t>
        </is>
      </c>
      <c r="F105" s="117" t="inlineStr">
        <is>
          <t>Startup</t>
        </is>
      </c>
      <c r="G105" s="118" t="n">
        <v>29</v>
      </c>
      <c r="H105" s="119" t="n">
        <v>144971</v>
      </c>
      <c r="I105" s="119" t="n">
        <v>170506</v>
      </c>
      <c r="J105" s="119" t="n">
        <v>129639</v>
      </c>
      <c r="K105" s="117" t="inlineStr">
        <is>
          <t>In Progress</t>
        </is>
      </c>
      <c r="L105" s="140" t="n">
        <v>44</v>
      </c>
      <c r="M105" s="117" t="inlineStr">
        <is>
          <t>Delta Ltd</t>
        </is>
      </c>
      <c r="N105" s="117" t="inlineStr">
        <is>
          <t>Large ($50K-$200K)</t>
        </is>
      </c>
      <c r="O105" s="117" t="inlineStr">
        <is>
          <t>Trade Show</t>
        </is>
      </c>
      <c r="P105" s="119">
        <f>H105*0.08</f>
        <v/>
      </c>
      <c r="Q105" s="139" t="n">
        <v>0.05</v>
      </c>
      <c r="R105" s="117" t="inlineStr">
        <is>
          <t>Q4 deal - Trade Show channel</t>
        </is>
      </c>
    </row>
    <row r="106" ht="15" customHeight="1" s="77">
      <c r="A106" s="108" t="inlineStr">
        <is>
          <t>2025-10-03</t>
        </is>
      </c>
      <c r="B106" s="108" t="inlineStr">
        <is>
          <t>October</t>
        </is>
      </c>
      <c r="C106" s="108" t="inlineStr">
        <is>
          <t>Emily Davis</t>
        </is>
      </c>
      <c r="D106" s="108" t="inlineStr">
        <is>
          <t>Central</t>
        </is>
      </c>
      <c r="E106" s="108" t="inlineStr">
        <is>
          <t>Product E</t>
        </is>
      </c>
      <c r="F106" s="108" t="inlineStr">
        <is>
          <t>Government</t>
        </is>
      </c>
      <c r="G106" s="109" t="n">
        <v>25</v>
      </c>
      <c r="H106" s="110" t="n">
        <v>199975</v>
      </c>
      <c r="I106" s="110" t="n">
        <v>232126</v>
      </c>
      <c r="J106" s="110" t="n">
        <v>177322</v>
      </c>
      <c r="K106" s="108" t="inlineStr">
        <is>
          <t>Won</t>
        </is>
      </c>
      <c r="L106" s="138" t="n">
        <v>16</v>
      </c>
      <c r="M106" s="108" t="inlineStr">
        <is>
          <t>Epsilon Co</t>
        </is>
      </c>
      <c r="N106" s="108" t="inlineStr">
        <is>
          <t>Large ($50K-$200K)</t>
        </is>
      </c>
      <c r="O106" s="108" t="inlineStr">
        <is>
          <t>Website</t>
        </is>
      </c>
      <c r="P106" s="110">
        <f>H106*0.08</f>
        <v/>
      </c>
      <c r="Q106" s="137" t="n">
        <v>0.08</v>
      </c>
      <c r="R106" s="108" t="inlineStr">
        <is>
          <t>Q1 deal - Website channel</t>
        </is>
      </c>
    </row>
    <row r="107" ht="15" customHeight="1" s="77">
      <c r="A107" s="117" t="inlineStr">
        <is>
          <t>2025-04-04</t>
        </is>
      </c>
      <c r="B107" s="117" t="inlineStr">
        <is>
          <t>April</t>
        </is>
      </c>
      <c r="C107" s="117" t="inlineStr">
        <is>
          <t>Carlos Ruiz</t>
        </is>
      </c>
      <c r="D107" s="117" t="inlineStr">
        <is>
          <t>International</t>
        </is>
      </c>
      <c r="E107" s="117" t="inlineStr">
        <is>
          <t>Product F</t>
        </is>
      </c>
      <c r="F107" s="117" t="inlineStr">
        <is>
          <t>Enterprise</t>
        </is>
      </c>
      <c r="G107" s="118" t="n">
        <v>4</v>
      </c>
      <c r="H107" s="119" t="n">
        <v>79996</v>
      </c>
      <c r="I107" s="119" t="n">
        <v>72748</v>
      </c>
      <c r="J107" s="119" t="n">
        <v>73892</v>
      </c>
      <c r="K107" s="117" t="inlineStr">
        <is>
          <t>Won</t>
        </is>
      </c>
      <c r="L107" s="140" t="n">
        <v>54</v>
      </c>
      <c r="M107" s="117" t="inlineStr">
        <is>
          <t>Zeta Corp</t>
        </is>
      </c>
      <c r="N107" s="117" t="inlineStr">
        <is>
          <t>Large ($50K-$200K)</t>
        </is>
      </c>
      <c r="O107" s="117" t="inlineStr">
        <is>
          <t>Partner</t>
        </is>
      </c>
      <c r="P107" s="119">
        <f>H107*0.08</f>
        <v/>
      </c>
      <c r="Q107" s="139" t="n">
        <v>0.08</v>
      </c>
      <c r="R107" s="117" t="inlineStr">
        <is>
          <t>Q2 deal - Partner channel</t>
        </is>
      </c>
    </row>
    <row r="108" ht="15" customHeight="1" s="77">
      <c r="A108" s="108" t="inlineStr">
        <is>
          <t>2025-07-22</t>
        </is>
      </c>
      <c r="B108" s="108" t="inlineStr">
        <is>
          <t>July</t>
        </is>
      </c>
      <c r="C108" s="108" t="inlineStr">
        <is>
          <t>Lisa Park</t>
        </is>
      </c>
      <c r="D108" s="108" t="inlineStr">
        <is>
          <t>North</t>
        </is>
      </c>
      <c r="E108" s="108" t="inlineStr">
        <is>
          <t>Product G</t>
        </is>
      </c>
      <c r="F108" s="108" t="inlineStr">
        <is>
          <t>SMB</t>
        </is>
      </c>
      <c r="G108" s="109" t="n">
        <v>31</v>
      </c>
      <c r="H108" s="110" t="n">
        <v>247969</v>
      </c>
      <c r="I108" s="110" t="n">
        <v>253535</v>
      </c>
      <c r="J108" s="110" t="n">
        <v>215191</v>
      </c>
      <c r="K108" s="108" t="inlineStr">
        <is>
          <t>Won</t>
        </is>
      </c>
      <c r="L108" s="138" t="n">
        <v>113</v>
      </c>
      <c r="M108" s="108" t="inlineStr">
        <is>
          <t>Eta Inc</t>
        </is>
      </c>
      <c r="N108" s="108" t="inlineStr">
        <is>
          <t>Enterprise (&gt;$200K)</t>
        </is>
      </c>
      <c r="O108" s="108" t="inlineStr">
        <is>
          <t>Email Campaign</t>
        </is>
      </c>
      <c r="P108" s="110">
        <f>H108*0.08</f>
        <v/>
      </c>
      <c r="Q108" s="137" t="n">
        <v>0.07000000000000001</v>
      </c>
      <c r="R108" s="108" t="inlineStr">
        <is>
          <t>Q3 deal - Email Campaign channel</t>
        </is>
      </c>
    </row>
    <row r="109" ht="15" customHeight="1" s="77">
      <c r="A109" s="117" t="inlineStr">
        <is>
          <t>2025-09-12</t>
        </is>
      </c>
      <c r="B109" s="117" t="inlineStr">
        <is>
          <t>September</t>
        </is>
      </c>
      <c r="C109" s="117" t="inlineStr">
        <is>
          <t>Tom Brown</t>
        </is>
      </c>
      <c r="D109" s="117" t="inlineStr">
        <is>
          <t>West</t>
        </is>
      </c>
      <c r="E109" s="117" t="inlineStr">
        <is>
          <t>Product H</t>
        </is>
      </c>
      <c r="F109" s="117" t="inlineStr">
        <is>
          <t>Mid-Market</t>
        </is>
      </c>
      <c r="G109" s="118" t="n">
        <v>27</v>
      </c>
      <c r="H109" s="119" t="n">
        <v>134973</v>
      </c>
      <c r="I109" s="119" t="n">
        <v>147021</v>
      </c>
      <c r="J109" s="119" t="n">
        <v>130415</v>
      </c>
      <c r="K109" s="117" t="inlineStr">
        <is>
          <t>Won</t>
        </is>
      </c>
      <c r="L109" s="140" t="n">
        <v>51</v>
      </c>
      <c r="M109" s="117" t="inlineStr">
        <is>
          <t>Theta LLC</t>
        </is>
      </c>
      <c r="N109" s="117" t="inlineStr">
        <is>
          <t>Large ($50K-$200K)</t>
        </is>
      </c>
      <c r="O109" s="117" t="inlineStr">
        <is>
          <t>Webinar</t>
        </is>
      </c>
      <c r="P109" s="119">
        <f>H109*0.08</f>
        <v/>
      </c>
      <c r="Q109" s="139" t="n">
        <v>0.03</v>
      </c>
      <c r="R109" s="117" t="inlineStr">
        <is>
          <t>Q4 deal - Webinar channel</t>
        </is>
      </c>
    </row>
    <row r="110" ht="15" customHeight="1" s="77">
      <c r="A110" s="108" t="inlineStr">
        <is>
          <t>2025-01-26</t>
        </is>
      </c>
      <c r="B110" s="108" t="inlineStr">
        <is>
          <t>January</t>
        </is>
      </c>
      <c r="C110" s="108" t="inlineStr">
        <is>
          <t>Anna Schmidt</t>
        </is>
      </c>
      <c r="D110" s="108" t="inlineStr">
        <is>
          <t>East</t>
        </is>
      </c>
      <c r="E110" s="108" t="inlineStr">
        <is>
          <t>Product I</t>
        </is>
      </c>
      <c r="F110" s="108" t="inlineStr">
        <is>
          <t>Startup</t>
        </is>
      </c>
      <c r="G110" s="109" t="n">
        <v>46</v>
      </c>
      <c r="H110" s="110" t="n">
        <v>919954</v>
      </c>
      <c r="I110" s="110" t="n">
        <v>986848</v>
      </c>
      <c r="J110" s="110" t="n">
        <v>803299</v>
      </c>
      <c r="K110" s="108" t="inlineStr">
        <is>
          <t>Lost</t>
        </is>
      </c>
      <c r="L110" s="138" t="n">
        <v>86</v>
      </c>
      <c r="M110" s="108" t="inlineStr">
        <is>
          <t>Iota Ltd</t>
        </is>
      </c>
      <c r="N110" s="108" t="inlineStr">
        <is>
          <t>Enterprise (&gt;$200K)</t>
        </is>
      </c>
      <c r="O110" s="108" t="inlineStr">
        <is>
          <t>SEO</t>
        </is>
      </c>
      <c r="P110" s="110">
        <f>H110*0.08</f>
        <v/>
      </c>
      <c r="Q110" s="137" t="n">
        <v>0.09</v>
      </c>
      <c r="R110" s="108" t="inlineStr">
        <is>
          <t>Q1 deal - SEO channel</t>
        </is>
      </c>
    </row>
    <row r="111" ht="15" customHeight="1" s="77">
      <c r="A111" s="117" t="inlineStr">
        <is>
          <t>2025-04-26</t>
        </is>
      </c>
      <c r="B111" s="117" t="inlineStr">
        <is>
          <t>April</t>
        </is>
      </c>
      <c r="C111" s="117" t="inlineStr">
        <is>
          <t>David Kim</t>
        </is>
      </c>
      <c r="D111" s="117" t="inlineStr">
        <is>
          <t>South</t>
        </is>
      </c>
      <c r="E111" s="117" t="inlineStr">
        <is>
          <t>Product J</t>
        </is>
      </c>
      <c r="F111" s="117" t="inlineStr">
        <is>
          <t>Government</t>
        </is>
      </c>
      <c r="G111" s="118" t="n">
        <v>25</v>
      </c>
      <c r="H111" s="119" t="n">
        <v>1249975</v>
      </c>
      <c r="I111" s="119" t="n">
        <v>1260458</v>
      </c>
      <c r="J111" s="119" t="n">
        <v>1226379</v>
      </c>
      <c r="K111" s="117" t="inlineStr">
        <is>
          <t>In Progress</t>
        </is>
      </c>
      <c r="L111" s="140" t="n">
        <v>85</v>
      </c>
      <c r="M111" s="117" t="inlineStr">
        <is>
          <t>Kappa Co</t>
        </is>
      </c>
      <c r="N111" s="117" t="inlineStr">
        <is>
          <t>Enterprise (&gt;$200K)</t>
        </is>
      </c>
      <c r="O111" s="117" t="inlineStr">
        <is>
          <t>Direct</t>
        </is>
      </c>
      <c r="P111" s="119">
        <f>H111*0.08</f>
        <v/>
      </c>
      <c r="Q111" s="139" t="n">
        <v>0.11</v>
      </c>
      <c r="R111" s="117" t="inlineStr">
        <is>
          <t>Q2 deal - Direct channel</t>
        </is>
      </c>
    </row>
    <row r="112" ht="15" customHeight="1" s="77">
      <c r="A112" s="108" t="inlineStr">
        <is>
          <t>2025-05-15</t>
        </is>
      </c>
      <c r="B112" s="108" t="inlineStr">
        <is>
          <t>May</t>
        </is>
      </c>
      <c r="C112" s="108" t="inlineStr">
        <is>
          <t>Rachel Green</t>
        </is>
      </c>
      <c r="D112" s="108" t="inlineStr">
        <is>
          <t>Central</t>
        </is>
      </c>
      <c r="E112" s="108" t="inlineStr">
        <is>
          <t>Product A</t>
        </is>
      </c>
      <c r="F112" s="108" t="inlineStr">
        <is>
          <t>Enterprise</t>
        </is>
      </c>
      <c r="G112" s="109" t="n">
        <v>18</v>
      </c>
      <c r="H112" s="110" t="n">
        <v>359982</v>
      </c>
      <c r="I112" s="110" t="n">
        <v>424788</v>
      </c>
      <c r="J112" s="110" t="n">
        <v>318090</v>
      </c>
      <c r="K112" s="108" t="inlineStr">
        <is>
          <t>In Progress</t>
        </is>
      </c>
      <c r="L112" s="138" t="n">
        <v>90</v>
      </c>
      <c r="M112" s="108" t="inlineStr">
        <is>
          <t>Lambda Corp</t>
        </is>
      </c>
      <c r="N112" s="108" t="inlineStr">
        <is>
          <t>Enterprise (&gt;$200K)</t>
        </is>
      </c>
      <c r="O112" s="108" t="inlineStr">
        <is>
          <t>Referral</t>
        </is>
      </c>
      <c r="P112" s="110">
        <f>H112*0.08</f>
        <v/>
      </c>
      <c r="Q112" s="137" t="n">
        <v>0.13</v>
      </c>
      <c r="R112" s="108" t="inlineStr">
        <is>
          <t>Q3 deal - Referral channel</t>
        </is>
      </c>
    </row>
    <row r="113" ht="15" customHeight="1" s="77">
      <c r="A113" s="117" t="inlineStr">
        <is>
          <t>2025-03-26</t>
        </is>
      </c>
      <c r="B113" s="117" t="inlineStr">
        <is>
          <t>March</t>
        </is>
      </c>
      <c r="C113" s="117" t="inlineStr">
        <is>
          <t>Mark Thompson</t>
        </is>
      </c>
      <c r="D113" s="117" t="inlineStr">
        <is>
          <t>International</t>
        </is>
      </c>
      <c r="E113" s="117" t="inlineStr">
        <is>
          <t>Product B</t>
        </is>
      </c>
      <c r="F113" s="117" t="inlineStr">
        <is>
          <t>SMB</t>
        </is>
      </c>
      <c r="G113" s="118" t="n">
        <v>32</v>
      </c>
      <c r="H113" s="119" t="n">
        <v>1599968</v>
      </c>
      <c r="I113" s="119" t="n">
        <v>1700665</v>
      </c>
      <c r="J113" s="119" t="n">
        <v>1635404</v>
      </c>
      <c r="K113" s="117" t="inlineStr">
        <is>
          <t>Won</t>
        </is>
      </c>
      <c r="L113" s="140" t="n">
        <v>39</v>
      </c>
      <c r="M113" s="117" t="inlineStr">
        <is>
          <t>Mu Inc</t>
        </is>
      </c>
      <c r="N113" s="117" t="inlineStr">
        <is>
          <t>Enterprise (&gt;$200K)</t>
        </is>
      </c>
      <c r="O113" s="117" t="inlineStr">
        <is>
          <t>Cold Call</t>
        </is>
      </c>
      <c r="P113" s="119">
        <f>H113*0.08</f>
        <v/>
      </c>
      <c r="Q113" s="139" t="n">
        <v>0.08</v>
      </c>
      <c r="R113" s="117" t="inlineStr">
        <is>
          <t>Q4 deal - Cold Call channel</t>
        </is>
      </c>
    </row>
    <row r="114" ht="15" customHeight="1" s="77">
      <c r="A114" s="108" t="inlineStr">
        <is>
          <t>2025-09-02</t>
        </is>
      </c>
      <c r="B114" s="108" t="inlineStr">
        <is>
          <t>September</t>
        </is>
      </c>
      <c r="C114" s="108" t="inlineStr">
        <is>
          <t>Susan Lee</t>
        </is>
      </c>
      <c r="D114" s="108" t="inlineStr">
        <is>
          <t>North</t>
        </is>
      </c>
      <c r="E114" s="108" t="inlineStr">
        <is>
          <t>Product C</t>
        </is>
      </c>
      <c r="F114" s="108" t="inlineStr">
        <is>
          <t>Mid-Market</t>
        </is>
      </c>
      <c r="G114" s="109" t="n">
        <v>18</v>
      </c>
      <c r="H114" s="110" t="n">
        <v>539982</v>
      </c>
      <c r="I114" s="110" t="n">
        <v>604999</v>
      </c>
      <c r="J114" s="110" t="n">
        <v>481532</v>
      </c>
      <c r="K114" s="108" t="inlineStr">
        <is>
          <t>Won</t>
        </is>
      </c>
      <c r="L114" s="138" t="n">
        <v>83</v>
      </c>
      <c r="M114" s="108" t="inlineStr">
        <is>
          <t>Nu LLC</t>
        </is>
      </c>
      <c r="N114" s="108" t="inlineStr">
        <is>
          <t>Enterprise (&gt;$200K)</t>
        </is>
      </c>
      <c r="O114" s="108" t="inlineStr">
        <is>
          <t>LinkedIn</t>
        </is>
      </c>
      <c r="P114" s="110">
        <f>H114*0.08</f>
        <v/>
      </c>
      <c r="Q114" s="137" t="n">
        <v>0.1</v>
      </c>
      <c r="R114" s="108" t="inlineStr">
        <is>
          <t>Q1 deal - LinkedIn channel</t>
        </is>
      </c>
    </row>
    <row r="115" ht="15" customHeight="1" s="77">
      <c r="A115" s="117" t="inlineStr">
        <is>
          <t>2025-08-29</t>
        </is>
      </c>
      <c r="B115" s="117" t="inlineStr">
        <is>
          <t>August</t>
        </is>
      </c>
      <c r="C115" s="117" t="inlineStr">
        <is>
          <t>Kevin Martin</t>
        </is>
      </c>
      <c r="D115" s="117" t="inlineStr">
        <is>
          <t>West</t>
        </is>
      </c>
      <c r="E115" s="117" t="inlineStr">
        <is>
          <t>Product D</t>
        </is>
      </c>
      <c r="F115" s="117" t="inlineStr">
        <is>
          <t>Startup</t>
        </is>
      </c>
      <c r="G115" s="118" t="n">
        <v>26</v>
      </c>
      <c r="H115" s="119" t="n">
        <v>389974</v>
      </c>
      <c r="I115" s="119" t="n">
        <v>406289</v>
      </c>
      <c r="J115" s="119" t="n">
        <v>343385</v>
      </c>
      <c r="K115" s="117" t="inlineStr">
        <is>
          <t>Won</t>
        </is>
      </c>
      <c r="L115" s="140" t="n">
        <v>46</v>
      </c>
      <c r="M115" s="117" t="inlineStr">
        <is>
          <t>Xi Ltd</t>
        </is>
      </c>
      <c r="N115" s="117" t="inlineStr">
        <is>
          <t>Enterprise (&gt;$200K)</t>
        </is>
      </c>
      <c r="O115" s="117" t="inlineStr">
        <is>
          <t>Trade Show</t>
        </is>
      </c>
      <c r="P115" s="119">
        <f>H115*0.08</f>
        <v/>
      </c>
      <c r="Q115" s="139" t="n">
        <v>0.1</v>
      </c>
      <c r="R115" s="117" t="inlineStr">
        <is>
          <t>Q2 deal - Trade Show channel</t>
        </is>
      </c>
    </row>
    <row r="116" ht="15" customHeight="1" s="77">
      <c r="A116" s="108" t="inlineStr">
        <is>
          <t>2025-06-01</t>
        </is>
      </c>
      <c r="B116" s="108" t="inlineStr">
        <is>
          <t>June</t>
        </is>
      </c>
      <c r="C116" s="108" t="inlineStr">
        <is>
          <t>Nina Patel</t>
        </is>
      </c>
      <c r="D116" s="108" t="inlineStr">
        <is>
          <t>East</t>
        </is>
      </c>
      <c r="E116" s="108" t="inlineStr">
        <is>
          <t>Product E</t>
        </is>
      </c>
      <c r="F116" s="108" t="inlineStr">
        <is>
          <t>Government</t>
        </is>
      </c>
      <c r="G116" s="109" t="n">
        <v>21</v>
      </c>
      <c r="H116" s="110" t="n">
        <v>524979</v>
      </c>
      <c r="I116" s="110" t="n">
        <v>557784</v>
      </c>
      <c r="J116" s="110" t="n">
        <v>515303</v>
      </c>
      <c r="K116" s="108" t="inlineStr">
        <is>
          <t>Won</t>
        </is>
      </c>
      <c r="L116" s="138" t="n">
        <v>8</v>
      </c>
      <c r="M116" s="108" t="inlineStr">
        <is>
          <t>Pi Co</t>
        </is>
      </c>
      <c r="N116" s="108" t="inlineStr">
        <is>
          <t>Enterprise (&gt;$200K)</t>
        </is>
      </c>
      <c r="O116" s="108" t="inlineStr">
        <is>
          <t>Website</t>
        </is>
      </c>
      <c r="P116" s="110">
        <f>H116*0.08</f>
        <v/>
      </c>
      <c r="Q116" s="137" t="n">
        <v>0.13</v>
      </c>
      <c r="R116" s="108" t="inlineStr">
        <is>
          <t>Q3 deal - Website channel</t>
        </is>
      </c>
    </row>
    <row r="117" ht="15" customHeight="1" s="77">
      <c r="A117" s="117" t="inlineStr">
        <is>
          <t>2025-10-15</t>
        </is>
      </c>
      <c r="B117" s="117" t="inlineStr">
        <is>
          <t>October</t>
        </is>
      </c>
      <c r="C117" s="117" t="inlineStr">
        <is>
          <t>Chris Wilson</t>
        </is>
      </c>
      <c r="D117" s="117" t="inlineStr">
        <is>
          <t>South</t>
        </is>
      </c>
      <c r="E117" s="117" t="inlineStr">
        <is>
          <t>Product F</t>
        </is>
      </c>
      <c r="F117" s="117" t="inlineStr">
        <is>
          <t>Enterprise</t>
        </is>
      </c>
      <c r="G117" s="118" t="n">
        <v>14</v>
      </c>
      <c r="H117" s="119" t="n">
        <v>279986</v>
      </c>
      <c r="I117" s="119" t="n">
        <v>316386</v>
      </c>
      <c r="J117" s="119" t="n">
        <v>297921</v>
      </c>
      <c r="K117" s="117" t="inlineStr">
        <is>
          <t>Lost</t>
        </is>
      </c>
      <c r="L117" s="140" t="n">
        <v>14</v>
      </c>
      <c r="M117" s="117" t="inlineStr">
        <is>
          <t>Rho Corp</t>
        </is>
      </c>
      <c r="N117" s="117" t="inlineStr">
        <is>
          <t>Enterprise (&gt;$200K)</t>
        </is>
      </c>
      <c r="O117" s="117" t="inlineStr">
        <is>
          <t>Partner</t>
        </is>
      </c>
      <c r="P117" s="119">
        <f>H117*0.08</f>
        <v/>
      </c>
      <c r="Q117" s="139" t="n">
        <v>0.09</v>
      </c>
      <c r="R117" s="117" t="inlineStr">
        <is>
          <t>Q4 deal - Partner channel</t>
        </is>
      </c>
    </row>
    <row r="118" ht="15" customHeight="1" s="77">
      <c r="A118" s="108" t="inlineStr">
        <is>
          <t>2025-11-05</t>
        </is>
      </c>
      <c r="B118" s="108" t="inlineStr">
        <is>
          <t>November</t>
        </is>
      </c>
      <c r="C118" s="108" t="inlineStr">
        <is>
          <t>Amanda Foster</t>
        </is>
      </c>
      <c r="D118" s="108" t="inlineStr">
        <is>
          <t>Central</t>
        </is>
      </c>
      <c r="E118" s="108" t="inlineStr">
        <is>
          <t>Product G</t>
        </is>
      </c>
      <c r="F118" s="108" t="inlineStr">
        <is>
          <t>SMB</t>
        </is>
      </c>
      <c r="G118" s="109" t="n">
        <v>7</v>
      </c>
      <c r="H118" s="110" t="n">
        <v>34993</v>
      </c>
      <c r="I118" s="110" t="n">
        <v>37010</v>
      </c>
      <c r="J118" s="110" t="n">
        <v>31950</v>
      </c>
      <c r="K118" s="108" t="inlineStr">
        <is>
          <t>In Progress</t>
        </is>
      </c>
      <c r="L118" s="138" t="n">
        <v>63</v>
      </c>
      <c r="M118" s="108" t="inlineStr">
        <is>
          <t>Sigma Inc</t>
        </is>
      </c>
      <c r="N118" s="108" t="inlineStr">
        <is>
          <t>Medium ($10K-$50K)</t>
        </is>
      </c>
      <c r="O118" s="108" t="inlineStr">
        <is>
          <t>Email Campaign</t>
        </is>
      </c>
      <c r="P118" s="110">
        <f>H118*0.08</f>
        <v/>
      </c>
      <c r="Q118" s="137" t="n">
        <v>0.01</v>
      </c>
      <c r="R118" s="108" t="inlineStr">
        <is>
          <t>Q1 deal - Email Campaign channel</t>
        </is>
      </c>
    </row>
    <row r="119" ht="15" customHeight="1" s="77">
      <c r="A119" s="117" t="inlineStr">
        <is>
          <t>2025-07-18</t>
        </is>
      </c>
      <c r="B119" s="117" t="inlineStr">
        <is>
          <t>July</t>
        </is>
      </c>
      <c r="C119" s="117" t="inlineStr">
        <is>
          <t>Robert Taylor</t>
        </is>
      </c>
      <c r="D119" s="117" t="inlineStr">
        <is>
          <t>International</t>
        </is>
      </c>
      <c r="E119" s="117" t="inlineStr">
        <is>
          <t>Product H</t>
        </is>
      </c>
      <c r="F119" s="117" t="inlineStr">
        <is>
          <t>Mid-Market</t>
        </is>
      </c>
      <c r="G119" s="118" t="n">
        <v>25</v>
      </c>
      <c r="H119" s="119" t="n">
        <v>199975</v>
      </c>
      <c r="I119" s="119" t="n">
        <v>200699</v>
      </c>
      <c r="J119" s="119" t="n">
        <v>206322</v>
      </c>
      <c r="K119" s="117" t="inlineStr">
        <is>
          <t>In Progress</t>
        </is>
      </c>
      <c r="L119" s="140" t="n">
        <v>41</v>
      </c>
      <c r="M119" s="117" t="inlineStr">
        <is>
          <t>Tau LLC</t>
        </is>
      </c>
      <c r="N119" s="117" t="inlineStr">
        <is>
          <t>Large ($50K-$200K)</t>
        </is>
      </c>
      <c r="O119" s="117" t="inlineStr">
        <is>
          <t>Webinar</t>
        </is>
      </c>
      <c r="P119" s="119">
        <f>H119*0.08</f>
        <v/>
      </c>
      <c r="Q119" s="139" t="n">
        <v>0.12</v>
      </c>
      <c r="R119" s="117" t="inlineStr">
        <is>
          <t>Q2 deal - Webinar channel</t>
        </is>
      </c>
    </row>
    <row r="120" ht="15" customHeight="1" s="77">
      <c r="A120" s="108" t="inlineStr">
        <is>
          <t>2025-08-30</t>
        </is>
      </c>
      <c r="B120" s="108" t="inlineStr">
        <is>
          <t>August</t>
        </is>
      </c>
      <c r="C120" s="108" t="inlineStr">
        <is>
          <t>Jennifer Moore</t>
        </is>
      </c>
      <c r="D120" s="108" t="inlineStr">
        <is>
          <t>North</t>
        </is>
      </c>
      <c r="E120" s="108" t="inlineStr">
        <is>
          <t>Product I</t>
        </is>
      </c>
      <c r="F120" s="108" t="inlineStr">
        <is>
          <t>Startup</t>
        </is>
      </c>
      <c r="G120" s="109" t="n">
        <v>4</v>
      </c>
      <c r="H120" s="110" t="n">
        <v>31996</v>
      </c>
      <c r="I120" s="110" t="n">
        <v>30401</v>
      </c>
      <c r="J120" s="110" t="n">
        <v>33940</v>
      </c>
      <c r="K120" s="108" t="inlineStr">
        <is>
          <t>Won</t>
        </is>
      </c>
      <c r="L120" s="138" t="n">
        <v>20</v>
      </c>
      <c r="M120" s="108" t="inlineStr">
        <is>
          <t>Upsilon Ltd</t>
        </is>
      </c>
      <c r="N120" s="108" t="inlineStr">
        <is>
          <t>Medium ($10K-$50K)</t>
        </is>
      </c>
      <c r="O120" s="108" t="inlineStr">
        <is>
          <t>SEO</t>
        </is>
      </c>
      <c r="P120" s="110">
        <f>H120*0.08</f>
        <v/>
      </c>
      <c r="Q120" s="137" t="n">
        <v>0.15</v>
      </c>
      <c r="R120" s="108" t="inlineStr">
        <is>
          <t>Q3 deal - SEO channel</t>
        </is>
      </c>
    </row>
    <row r="121" ht="15" customHeight="1" s="77">
      <c r="A121" s="117" t="inlineStr">
        <is>
          <t>2025-05-15</t>
        </is>
      </c>
      <c r="B121" s="117" t="inlineStr">
        <is>
          <t>May</t>
        </is>
      </c>
      <c r="C121" s="117" t="inlineStr">
        <is>
          <t>Daniel Jackson</t>
        </is>
      </c>
      <c r="D121" s="117" t="inlineStr">
        <is>
          <t>West</t>
        </is>
      </c>
      <c r="E121" s="117" t="inlineStr">
        <is>
          <t>Product J</t>
        </is>
      </c>
      <c r="F121" s="117" t="inlineStr">
        <is>
          <t>Government</t>
        </is>
      </c>
      <c r="G121" s="118" t="n">
        <v>11</v>
      </c>
      <c r="H121" s="119" t="n">
        <v>549989</v>
      </c>
      <c r="I121" s="119" t="n">
        <v>601166</v>
      </c>
      <c r="J121" s="119" t="n">
        <v>526361</v>
      </c>
      <c r="K121" s="117" t="inlineStr">
        <is>
          <t>Won</t>
        </is>
      </c>
      <c r="L121" s="140" t="n">
        <v>108</v>
      </c>
      <c r="M121" s="117" t="inlineStr">
        <is>
          <t>Phi Co</t>
        </is>
      </c>
      <c r="N121" s="117" t="inlineStr">
        <is>
          <t>Enterprise (&gt;$200K)</t>
        </is>
      </c>
      <c r="O121" s="117" t="inlineStr">
        <is>
          <t>Direct</t>
        </is>
      </c>
      <c r="P121" s="119">
        <f>H121*0.08</f>
        <v/>
      </c>
      <c r="Q121" s="139" t="n">
        <v>0.01</v>
      </c>
      <c r="R121" s="117" t="inlineStr">
        <is>
          <t>Q4 deal - Direct channel</t>
        </is>
      </c>
    </row>
    <row r="122" ht="15" customHeight="1" s="77">
      <c r="A122" s="108" t="inlineStr">
        <is>
          <t>2025-10-19</t>
        </is>
      </c>
      <c r="B122" s="108" t="inlineStr">
        <is>
          <t>October</t>
        </is>
      </c>
      <c r="C122" s="108" t="inlineStr">
        <is>
          <t>Sarah Johnson</t>
        </is>
      </c>
      <c r="D122" s="108" t="inlineStr">
        <is>
          <t>North</t>
        </is>
      </c>
      <c r="E122" s="108" t="inlineStr">
        <is>
          <t>Product A</t>
        </is>
      </c>
      <c r="F122" s="108" t="inlineStr">
        <is>
          <t>Enterprise</t>
        </is>
      </c>
      <c r="G122" s="109" t="n">
        <v>26</v>
      </c>
      <c r="H122" s="110" t="n">
        <v>259974</v>
      </c>
      <c r="I122" s="110" t="n">
        <v>267376</v>
      </c>
      <c r="J122" s="110" t="n">
        <v>260831</v>
      </c>
      <c r="K122" s="108" t="inlineStr">
        <is>
          <t>Won</t>
        </is>
      </c>
      <c r="L122" s="138" t="n">
        <v>60</v>
      </c>
      <c r="M122" s="108" t="inlineStr">
        <is>
          <t>Acme Corp</t>
        </is>
      </c>
      <c r="N122" s="108" t="inlineStr">
        <is>
          <t>Enterprise (&gt;$200K)</t>
        </is>
      </c>
      <c r="O122" s="108" t="inlineStr">
        <is>
          <t>Referral</t>
        </is>
      </c>
      <c r="P122" s="110">
        <f>H122*0.08</f>
        <v/>
      </c>
      <c r="Q122" s="137" t="n">
        <v>0.09</v>
      </c>
      <c r="R122" s="108" t="inlineStr">
        <is>
          <t>Q1 deal - Referral channel</t>
        </is>
      </c>
    </row>
    <row r="123" ht="15" customHeight="1" s="77">
      <c r="A123" s="117" t="inlineStr">
        <is>
          <t>2025-07-08</t>
        </is>
      </c>
      <c r="B123" s="117" t="inlineStr">
        <is>
          <t>July</t>
        </is>
      </c>
      <c r="C123" s="117" t="inlineStr">
        <is>
          <t>Mike Chen</t>
        </is>
      </c>
      <c r="D123" s="117" t="inlineStr">
        <is>
          <t>West</t>
        </is>
      </c>
      <c r="E123" s="117" t="inlineStr">
        <is>
          <t>Product B</t>
        </is>
      </c>
      <c r="F123" s="117" t="inlineStr">
        <is>
          <t>SMB</t>
        </is>
      </c>
      <c r="G123" s="118" t="n">
        <v>49</v>
      </c>
      <c r="H123" s="119" t="n">
        <v>1224951</v>
      </c>
      <c r="I123" s="119" t="n">
        <v>1468360</v>
      </c>
      <c r="J123" s="119" t="n">
        <v>1178180</v>
      </c>
      <c r="K123" s="117" t="inlineStr">
        <is>
          <t>Won</t>
        </is>
      </c>
      <c r="L123" s="140" t="n">
        <v>98</v>
      </c>
      <c r="M123" s="117" t="inlineStr">
        <is>
          <t>Beta Inc</t>
        </is>
      </c>
      <c r="N123" s="117" t="inlineStr">
        <is>
          <t>Enterprise (&gt;$200K)</t>
        </is>
      </c>
      <c r="O123" s="117" t="inlineStr">
        <is>
          <t>Cold Call</t>
        </is>
      </c>
      <c r="P123" s="119">
        <f>H123*0.08</f>
        <v/>
      </c>
      <c r="Q123" s="139" t="n">
        <v>0.13</v>
      </c>
      <c r="R123" s="117" t="inlineStr">
        <is>
          <t>Q2 deal - Cold Call channel</t>
        </is>
      </c>
    </row>
    <row r="124" ht="15" customHeight="1" s="77">
      <c r="A124" s="108" t="inlineStr">
        <is>
          <t>2025-08-07</t>
        </is>
      </c>
      <c r="B124" s="108" t="inlineStr">
        <is>
          <t>August</t>
        </is>
      </c>
      <c r="C124" s="108" t="inlineStr">
        <is>
          <t>Priya Sharma</t>
        </is>
      </c>
      <c r="D124" s="108" t="inlineStr">
        <is>
          <t>East</t>
        </is>
      </c>
      <c r="E124" s="108" t="inlineStr">
        <is>
          <t>Product C</t>
        </is>
      </c>
      <c r="F124" s="108" t="inlineStr">
        <is>
          <t>Mid-Market</t>
        </is>
      </c>
      <c r="G124" s="109" t="n">
        <v>41</v>
      </c>
      <c r="H124" s="110" t="n">
        <v>614959</v>
      </c>
      <c r="I124" s="110" t="n">
        <v>638088</v>
      </c>
      <c r="J124" s="110" t="n">
        <v>601506</v>
      </c>
      <c r="K124" s="108" t="inlineStr">
        <is>
          <t>Lost</t>
        </is>
      </c>
      <c r="L124" s="138" t="n">
        <v>115</v>
      </c>
      <c r="M124" s="108" t="inlineStr">
        <is>
          <t>Gamma LLC</t>
        </is>
      </c>
      <c r="N124" s="108" t="inlineStr">
        <is>
          <t>Enterprise (&gt;$200K)</t>
        </is>
      </c>
      <c r="O124" s="108" t="inlineStr">
        <is>
          <t>LinkedIn</t>
        </is>
      </c>
      <c r="P124" s="110">
        <f>H124*0.08</f>
        <v/>
      </c>
      <c r="Q124" s="137" t="n">
        <v>0.11</v>
      </c>
      <c r="R124" s="108" t="inlineStr">
        <is>
          <t>Q3 deal - LinkedIn channel</t>
        </is>
      </c>
    </row>
    <row r="125" ht="15" customHeight="1" s="77">
      <c r="A125" s="117" t="inlineStr">
        <is>
          <t>2025-09-06</t>
        </is>
      </c>
      <c r="B125" s="117" t="inlineStr">
        <is>
          <t>September</t>
        </is>
      </c>
      <c r="C125" s="117" t="inlineStr">
        <is>
          <t>James Williams</t>
        </is>
      </c>
      <c r="D125" s="117" t="inlineStr">
        <is>
          <t>South</t>
        </is>
      </c>
      <c r="E125" s="117" t="inlineStr">
        <is>
          <t>Product D</t>
        </is>
      </c>
      <c r="F125" s="117" t="inlineStr">
        <is>
          <t>Startup</t>
        </is>
      </c>
      <c r="G125" s="118" t="n">
        <v>28</v>
      </c>
      <c r="H125" s="119" t="n">
        <v>839972</v>
      </c>
      <c r="I125" s="119" t="n">
        <v>993116</v>
      </c>
      <c r="J125" s="119" t="n">
        <v>753505</v>
      </c>
      <c r="K125" s="117" t="inlineStr">
        <is>
          <t>In Progress</t>
        </is>
      </c>
      <c r="L125" s="140" t="n">
        <v>17</v>
      </c>
      <c r="M125" s="117" t="inlineStr">
        <is>
          <t>Delta Ltd</t>
        </is>
      </c>
      <c r="N125" s="117" t="inlineStr">
        <is>
          <t>Enterprise (&gt;$200K)</t>
        </is>
      </c>
      <c r="O125" s="117" t="inlineStr">
        <is>
          <t>Trade Show</t>
        </is>
      </c>
      <c r="P125" s="119">
        <f>H125*0.08</f>
        <v/>
      </c>
      <c r="Q125" s="139" t="n">
        <v>0.06</v>
      </c>
      <c r="R125" s="117" t="inlineStr">
        <is>
          <t>Q4 deal - Trade Show channel</t>
        </is>
      </c>
    </row>
    <row r="126" ht="15" customHeight="1" s="77">
      <c r="A126" s="108" t="inlineStr">
        <is>
          <t>2025-01-28</t>
        </is>
      </c>
      <c r="B126" s="108" t="inlineStr">
        <is>
          <t>January</t>
        </is>
      </c>
      <c r="C126" s="108" t="inlineStr">
        <is>
          <t>Emily Davis</t>
        </is>
      </c>
      <c r="D126" s="108" t="inlineStr">
        <is>
          <t>Central</t>
        </is>
      </c>
      <c r="E126" s="108" t="inlineStr">
        <is>
          <t>Product E</t>
        </is>
      </c>
      <c r="F126" s="108" t="inlineStr">
        <is>
          <t>Government</t>
        </is>
      </c>
      <c r="G126" s="109" t="n">
        <v>46</v>
      </c>
      <c r="H126" s="110" t="n">
        <v>459954</v>
      </c>
      <c r="I126" s="110" t="n">
        <v>456653</v>
      </c>
      <c r="J126" s="110" t="n">
        <v>465204</v>
      </c>
      <c r="K126" s="108" t="inlineStr">
        <is>
          <t>In Progress</t>
        </is>
      </c>
      <c r="L126" s="138" t="n">
        <v>51</v>
      </c>
      <c r="M126" s="108" t="inlineStr">
        <is>
          <t>Epsilon Co</t>
        </is>
      </c>
      <c r="N126" s="108" t="inlineStr">
        <is>
          <t>Enterprise (&gt;$200K)</t>
        </is>
      </c>
      <c r="O126" s="108" t="inlineStr">
        <is>
          <t>Website</t>
        </is>
      </c>
      <c r="P126" s="110">
        <f>H126*0.08</f>
        <v/>
      </c>
      <c r="Q126" s="137" t="n">
        <v>0.12</v>
      </c>
      <c r="R126" s="108" t="inlineStr">
        <is>
          <t>Q1 deal - Website channel</t>
        </is>
      </c>
    </row>
    <row r="127" ht="15" customHeight="1" s="77">
      <c r="A127" s="117" t="inlineStr">
        <is>
          <t>2025-11-02</t>
        </is>
      </c>
      <c r="B127" s="117" t="inlineStr">
        <is>
          <t>November</t>
        </is>
      </c>
      <c r="C127" s="117" t="inlineStr">
        <is>
          <t>Carlos Ruiz</t>
        </is>
      </c>
      <c r="D127" s="117" t="inlineStr">
        <is>
          <t>International</t>
        </is>
      </c>
      <c r="E127" s="117" t="inlineStr">
        <is>
          <t>Product F</t>
        </is>
      </c>
      <c r="F127" s="117" t="inlineStr">
        <is>
          <t>Enterprise</t>
        </is>
      </c>
      <c r="G127" s="118" t="n">
        <v>41</v>
      </c>
      <c r="H127" s="119" t="n">
        <v>1229959</v>
      </c>
      <c r="I127" s="119" t="n">
        <v>1315472</v>
      </c>
      <c r="J127" s="119" t="n">
        <v>1307975</v>
      </c>
      <c r="K127" s="117" t="inlineStr">
        <is>
          <t>Won</t>
        </is>
      </c>
      <c r="L127" s="140" t="n">
        <v>19</v>
      </c>
      <c r="M127" s="117" t="inlineStr">
        <is>
          <t>Zeta Corp</t>
        </is>
      </c>
      <c r="N127" s="117" t="inlineStr">
        <is>
          <t>Enterprise (&gt;$200K)</t>
        </is>
      </c>
      <c r="O127" s="117" t="inlineStr">
        <is>
          <t>Partner</t>
        </is>
      </c>
      <c r="P127" s="119">
        <f>H127*0.08</f>
        <v/>
      </c>
      <c r="Q127" s="139" t="n">
        <v>0.07000000000000001</v>
      </c>
      <c r="R127" s="117" t="inlineStr">
        <is>
          <t>Q2 deal - Partner channel</t>
        </is>
      </c>
    </row>
    <row r="128" ht="15" customHeight="1" s="77">
      <c r="A128" s="108" t="inlineStr">
        <is>
          <t>2025-02-21</t>
        </is>
      </c>
      <c r="B128" s="108" t="inlineStr">
        <is>
          <t>February</t>
        </is>
      </c>
      <c r="C128" s="108" t="inlineStr">
        <is>
          <t>Lisa Park</t>
        </is>
      </c>
      <c r="D128" s="108" t="inlineStr">
        <is>
          <t>North</t>
        </is>
      </c>
      <c r="E128" s="108" t="inlineStr">
        <is>
          <t>Product G</t>
        </is>
      </c>
      <c r="F128" s="108" t="inlineStr">
        <is>
          <t>SMB</t>
        </is>
      </c>
      <c r="G128" s="109" t="n">
        <v>8</v>
      </c>
      <c r="H128" s="110" t="n">
        <v>119992</v>
      </c>
      <c r="I128" s="110" t="n">
        <v>136067</v>
      </c>
      <c r="J128" s="110" t="n">
        <v>131991</v>
      </c>
      <c r="K128" s="108" t="inlineStr">
        <is>
          <t>Won</t>
        </is>
      </c>
      <c r="L128" s="138" t="n">
        <v>64</v>
      </c>
      <c r="M128" s="108" t="inlineStr">
        <is>
          <t>Eta Inc</t>
        </is>
      </c>
      <c r="N128" s="108" t="inlineStr">
        <is>
          <t>Large ($50K-$200K)</t>
        </is>
      </c>
      <c r="O128" s="108" t="inlineStr">
        <is>
          <t>Email Campaign</t>
        </is>
      </c>
      <c r="P128" s="110">
        <f>H128*0.08</f>
        <v/>
      </c>
      <c r="Q128" s="137" t="n">
        <v>0.11</v>
      </c>
      <c r="R128" s="108" t="inlineStr">
        <is>
          <t>Q3 deal - Email Campaign channel</t>
        </is>
      </c>
    </row>
    <row r="129" ht="15" customHeight="1" s="77">
      <c r="A129" s="117" t="inlineStr">
        <is>
          <t>2025-08-21</t>
        </is>
      </c>
      <c r="B129" s="117" t="inlineStr">
        <is>
          <t>August</t>
        </is>
      </c>
      <c r="C129" s="117" t="inlineStr">
        <is>
          <t>Tom Brown</t>
        </is>
      </c>
      <c r="D129" s="117" t="inlineStr">
        <is>
          <t>West</t>
        </is>
      </c>
      <c r="E129" s="117" t="inlineStr">
        <is>
          <t>Product H</t>
        </is>
      </c>
      <c r="F129" s="117" t="inlineStr">
        <is>
          <t>Mid-Market</t>
        </is>
      </c>
      <c r="G129" s="118" t="n">
        <v>11</v>
      </c>
      <c r="H129" s="119" t="n">
        <v>329989</v>
      </c>
      <c r="I129" s="119" t="n">
        <v>346877</v>
      </c>
      <c r="J129" s="119" t="n">
        <v>350495</v>
      </c>
      <c r="K129" s="117" t="inlineStr">
        <is>
          <t>Won</t>
        </is>
      </c>
      <c r="L129" s="140" t="n">
        <v>40</v>
      </c>
      <c r="M129" s="117" t="inlineStr">
        <is>
          <t>Theta LLC</t>
        </is>
      </c>
      <c r="N129" s="117" t="inlineStr">
        <is>
          <t>Enterprise (&gt;$200K)</t>
        </is>
      </c>
      <c r="O129" s="117" t="inlineStr">
        <is>
          <t>Webinar</t>
        </is>
      </c>
      <c r="P129" s="119">
        <f>H129*0.08</f>
        <v/>
      </c>
      <c r="Q129" s="139" t="n">
        <v>0.12</v>
      </c>
      <c r="R129" s="117" t="inlineStr">
        <is>
          <t>Q4 deal - Webinar channel</t>
        </is>
      </c>
    </row>
    <row r="130" ht="15" customHeight="1" s="77">
      <c r="A130" s="108" t="inlineStr">
        <is>
          <t>2025-06-18</t>
        </is>
      </c>
      <c r="B130" s="108" t="inlineStr">
        <is>
          <t>June</t>
        </is>
      </c>
      <c r="C130" s="108" t="inlineStr">
        <is>
          <t>Anna Schmidt</t>
        </is>
      </c>
      <c r="D130" s="108" t="inlineStr">
        <is>
          <t>East</t>
        </is>
      </c>
      <c r="E130" s="108" t="inlineStr">
        <is>
          <t>Product I</t>
        </is>
      </c>
      <c r="F130" s="108" t="inlineStr">
        <is>
          <t>Startup</t>
        </is>
      </c>
      <c r="G130" s="109" t="n">
        <v>27</v>
      </c>
      <c r="H130" s="110" t="n">
        <v>539973</v>
      </c>
      <c r="I130" s="110" t="n">
        <v>539015</v>
      </c>
      <c r="J130" s="110" t="n">
        <v>507043</v>
      </c>
      <c r="K130" s="108" t="inlineStr">
        <is>
          <t>Won</t>
        </is>
      </c>
      <c r="L130" s="138" t="n">
        <v>89</v>
      </c>
      <c r="M130" s="108" t="inlineStr">
        <is>
          <t>Iota Ltd</t>
        </is>
      </c>
      <c r="N130" s="108" t="inlineStr">
        <is>
          <t>Enterprise (&gt;$200K)</t>
        </is>
      </c>
      <c r="O130" s="108" t="inlineStr">
        <is>
          <t>SEO</t>
        </is>
      </c>
      <c r="P130" s="110">
        <f>H130*0.08</f>
        <v/>
      </c>
      <c r="Q130" s="137" t="n">
        <v>0.09</v>
      </c>
      <c r="R130" s="108" t="inlineStr">
        <is>
          <t>Q1 deal - SEO channel</t>
        </is>
      </c>
    </row>
    <row r="131" ht="15" customHeight="1" s="77">
      <c r="A131" s="117" t="inlineStr">
        <is>
          <t>2025-07-15</t>
        </is>
      </c>
      <c r="B131" s="117" t="inlineStr">
        <is>
          <t>July</t>
        </is>
      </c>
      <c r="C131" s="117" t="inlineStr">
        <is>
          <t>David Kim</t>
        </is>
      </c>
      <c r="D131" s="117" t="inlineStr">
        <is>
          <t>South</t>
        </is>
      </c>
      <c r="E131" s="117" t="inlineStr">
        <is>
          <t>Product J</t>
        </is>
      </c>
      <c r="F131" s="117" t="inlineStr">
        <is>
          <t>Government</t>
        </is>
      </c>
      <c r="G131" s="118" t="n">
        <v>24</v>
      </c>
      <c r="H131" s="119" t="n">
        <v>191976</v>
      </c>
      <c r="I131" s="119" t="n">
        <v>227829</v>
      </c>
      <c r="J131" s="119" t="n">
        <v>186276</v>
      </c>
      <c r="K131" s="117" t="inlineStr">
        <is>
          <t>Lost</t>
        </is>
      </c>
      <c r="L131" s="140" t="n">
        <v>44</v>
      </c>
      <c r="M131" s="117" t="inlineStr">
        <is>
          <t>Kappa Co</t>
        </is>
      </c>
      <c r="N131" s="117" t="inlineStr">
        <is>
          <t>Large ($50K-$200K)</t>
        </is>
      </c>
      <c r="O131" s="117" t="inlineStr">
        <is>
          <t>Direct</t>
        </is>
      </c>
      <c r="P131" s="119">
        <f>H131*0.08</f>
        <v/>
      </c>
      <c r="Q131" s="139" t="n">
        <v>0.04</v>
      </c>
      <c r="R131" s="117" t="inlineStr">
        <is>
          <t>Q2 deal - Direct channel</t>
        </is>
      </c>
    </row>
    <row r="132" ht="15" customHeight="1" s="77">
      <c r="A132" s="108" t="inlineStr">
        <is>
          <t>2025-08-15</t>
        </is>
      </c>
      <c r="B132" s="108" t="inlineStr">
        <is>
          <t>August</t>
        </is>
      </c>
      <c r="C132" s="108" t="inlineStr">
        <is>
          <t>Rachel Green</t>
        </is>
      </c>
      <c r="D132" s="108" t="inlineStr">
        <is>
          <t>Central</t>
        </is>
      </c>
      <c r="E132" s="108" t="inlineStr">
        <is>
          <t>Product A</t>
        </is>
      </c>
      <c r="F132" s="108" t="inlineStr">
        <is>
          <t>Enterprise</t>
        </is>
      </c>
      <c r="G132" s="109" t="n">
        <v>34</v>
      </c>
      <c r="H132" s="110" t="n">
        <v>849966</v>
      </c>
      <c r="I132" s="110" t="n">
        <v>908943</v>
      </c>
      <c r="J132" s="110" t="n">
        <v>732309</v>
      </c>
      <c r="K132" s="108" t="inlineStr">
        <is>
          <t>In Progress</t>
        </is>
      </c>
      <c r="L132" s="138" t="n">
        <v>49</v>
      </c>
      <c r="M132" s="108" t="inlineStr">
        <is>
          <t>Lambda Corp</t>
        </is>
      </c>
      <c r="N132" s="108" t="inlineStr">
        <is>
          <t>Enterprise (&gt;$200K)</t>
        </is>
      </c>
      <c r="O132" s="108" t="inlineStr">
        <is>
          <t>Referral</t>
        </is>
      </c>
      <c r="P132" s="110">
        <f>H132*0.08</f>
        <v/>
      </c>
      <c r="Q132" s="137" t="n">
        <v>0.14</v>
      </c>
      <c r="R132" s="108" t="inlineStr">
        <is>
          <t>Q3 deal - Referral channel</t>
        </is>
      </c>
    </row>
    <row r="133" ht="15" customHeight="1" s="77">
      <c r="A133" s="117" t="inlineStr">
        <is>
          <t>2025-09-27</t>
        </is>
      </c>
      <c r="B133" s="117" t="inlineStr">
        <is>
          <t>September</t>
        </is>
      </c>
      <c r="C133" s="117" t="inlineStr">
        <is>
          <t>Mark Thompson</t>
        </is>
      </c>
      <c r="D133" s="117" t="inlineStr">
        <is>
          <t>International</t>
        </is>
      </c>
      <c r="E133" s="117" t="inlineStr">
        <is>
          <t>Product B</t>
        </is>
      </c>
      <c r="F133" s="117" t="inlineStr">
        <is>
          <t>SMB</t>
        </is>
      </c>
      <c r="G133" s="118" t="n">
        <v>30</v>
      </c>
      <c r="H133" s="119" t="n">
        <v>749970</v>
      </c>
      <c r="I133" s="119" t="n">
        <v>889501</v>
      </c>
      <c r="J133" s="119" t="n">
        <v>758754</v>
      </c>
      <c r="K133" s="117" t="inlineStr">
        <is>
          <t>In Progress</t>
        </is>
      </c>
      <c r="L133" s="140" t="n">
        <v>103</v>
      </c>
      <c r="M133" s="117" t="inlineStr">
        <is>
          <t>Mu Inc</t>
        </is>
      </c>
      <c r="N133" s="117" t="inlineStr">
        <is>
          <t>Enterprise (&gt;$200K)</t>
        </is>
      </c>
      <c r="O133" s="117" t="inlineStr">
        <is>
          <t>Cold Call</t>
        </is>
      </c>
      <c r="P133" s="119">
        <f>H133*0.08</f>
        <v/>
      </c>
      <c r="Q133" s="139" t="n">
        <v>0</v>
      </c>
      <c r="R133" s="117" t="inlineStr">
        <is>
          <t>Q4 deal - Cold Call channel</t>
        </is>
      </c>
    </row>
    <row r="134" ht="15" customHeight="1" s="77">
      <c r="A134" s="108" t="inlineStr">
        <is>
          <t>2025-08-19</t>
        </is>
      </c>
      <c r="B134" s="108" t="inlineStr">
        <is>
          <t>August</t>
        </is>
      </c>
      <c r="C134" s="108" t="inlineStr">
        <is>
          <t>Susan Lee</t>
        </is>
      </c>
      <c r="D134" s="108" t="inlineStr">
        <is>
          <t>North</t>
        </is>
      </c>
      <c r="E134" s="108" t="inlineStr">
        <is>
          <t>Product C</t>
        </is>
      </c>
      <c r="F134" s="108" t="inlineStr">
        <is>
          <t>Mid-Market</t>
        </is>
      </c>
      <c r="G134" s="109" t="n">
        <v>35</v>
      </c>
      <c r="H134" s="110" t="n">
        <v>349965</v>
      </c>
      <c r="I134" s="110" t="n">
        <v>336865</v>
      </c>
      <c r="J134" s="110" t="n">
        <v>347861</v>
      </c>
      <c r="K134" s="108" t="inlineStr">
        <is>
          <t>Won</t>
        </is>
      </c>
      <c r="L134" s="138" t="n">
        <v>99</v>
      </c>
      <c r="M134" s="108" t="inlineStr">
        <is>
          <t>Nu LLC</t>
        </is>
      </c>
      <c r="N134" s="108" t="inlineStr">
        <is>
          <t>Enterprise (&gt;$200K)</t>
        </is>
      </c>
      <c r="O134" s="108" t="inlineStr">
        <is>
          <t>LinkedIn</t>
        </is>
      </c>
      <c r="P134" s="110">
        <f>H134*0.08</f>
        <v/>
      </c>
      <c r="Q134" s="137" t="n">
        <v>0.1</v>
      </c>
      <c r="R134" s="108" t="inlineStr">
        <is>
          <t>Q1 deal - LinkedIn channel</t>
        </is>
      </c>
    </row>
    <row r="135" ht="15" customHeight="1" s="77">
      <c r="A135" s="117" t="inlineStr">
        <is>
          <t>2025-01-12</t>
        </is>
      </c>
      <c r="B135" s="117" t="inlineStr">
        <is>
          <t>January</t>
        </is>
      </c>
      <c r="C135" s="117" t="inlineStr">
        <is>
          <t>Kevin Martin</t>
        </is>
      </c>
      <c r="D135" s="117" t="inlineStr">
        <is>
          <t>West</t>
        </is>
      </c>
      <c r="E135" s="117" t="inlineStr">
        <is>
          <t>Product D</t>
        </is>
      </c>
      <c r="F135" s="117" t="inlineStr">
        <is>
          <t>Startup</t>
        </is>
      </c>
      <c r="G135" s="118" t="n">
        <v>44</v>
      </c>
      <c r="H135" s="119" t="n">
        <v>659956</v>
      </c>
      <c r="I135" s="119" t="n">
        <v>612608</v>
      </c>
      <c r="J135" s="119" t="n">
        <v>568052</v>
      </c>
      <c r="K135" s="117" t="inlineStr">
        <is>
          <t>Won</t>
        </is>
      </c>
      <c r="L135" s="140" t="n">
        <v>73</v>
      </c>
      <c r="M135" s="117" t="inlineStr">
        <is>
          <t>Xi Ltd</t>
        </is>
      </c>
      <c r="N135" s="117" t="inlineStr">
        <is>
          <t>Enterprise (&gt;$200K)</t>
        </is>
      </c>
      <c r="O135" s="117" t="inlineStr">
        <is>
          <t>Trade Show</t>
        </is>
      </c>
      <c r="P135" s="119">
        <f>H135*0.08</f>
        <v/>
      </c>
      <c r="Q135" s="139" t="n">
        <v>0.12</v>
      </c>
      <c r="R135" s="117" t="inlineStr">
        <is>
          <t>Q2 deal - Trade Show channel</t>
        </is>
      </c>
    </row>
    <row r="136" ht="15" customHeight="1" s="77">
      <c r="A136" s="108" t="inlineStr">
        <is>
          <t>2025-03-18</t>
        </is>
      </c>
      <c r="B136" s="108" t="inlineStr">
        <is>
          <t>March</t>
        </is>
      </c>
      <c r="C136" s="108" t="inlineStr">
        <is>
          <t>Nina Patel</t>
        </is>
      </c>
      <c r="D136" s="108" t="inlineStr">
        <is>
          <t>East</t>
        </is>
      </c>
      <c r="E136" s="108" t="inlineStr">
        <is>
          <t>Product E</t>
        </is>
      </c>
      <c r="F136" s="108" t="inlineStr">
        <is>
          <t>Government</t>
        </is>
      </c>
      <c r="G136" s="109" t="n">
        <v>4</v>
      </c>
      <c r="H136" s="110" t="n">
        <v>31996</v>
      </c>
      <c r="I136" s="110" t="n">
        <v>29437</v>
      </c>
      <c r="J136" s="110" t="n">
        <v>33349</v>
      </c>
      <c r="K136" s="108" t="inlineStr">
        <is>
          <t>Won</t>
        </is>
      </c>
      <c r="L136" s="138" t="n">
        <v>24</v>
      </c>
      <c r="M136" s="108" t="inlineStr">
        <is>
          <t>Pi Co</t>
        </is>
      </c>
      <c r="N136" s="108" t="inlineStr">
        <is>
          <t>Medium ($10K-$50K)</t>
        </is>
      </c>
      <c r="O136" s="108" t="inlineStr">
        <is>
          <t>Website</t>
        </is>
      </c>
      <c r="P136" s="110">
        <f>H136*0.08</f>
        <v/>
      </c>
      <c r="Q136" s="137" t="n">
        <v>0.05</v>
      </c>
      <c r="R136" s="108" t="inlineStr">
        <is>
          <t>Q3 deal - Website channel</t>
        </is>
      </c>
    </row>
    <row r="137" ht="15" customHeight="1" s="77">
      <c r="A137" s="117" t="inlineStr">
        <is>
          <t>2025-01-08</t>
        </is>
      </c>
      <c r="B137" s="117" t="inlineStr">
        <is>
          <t>January</t>
        </is>
      </c>
      <c r="C137" s="117" t="inlineStr">
        <is>
          <t>Chris Wilson</t>
        </is>
      </c>
      <c r="D137" s="117" t="inlineStr">
        <is>
          <t>South</t>
        </is>
      </c>
      <c r="E137" s="117" t="inlineStr">
        <is>
          <t>Product F</t>
        </is>
      </c>
      <c r="F137" s="117" t="inlineStr">
        <is>
          <t>Enterprise</t>
        </is>
      </c>
      <c r="G137" s="118" t="n">
        <v>27</v>
      </c>
      <c r="H137" s="119" t="n">
        <v>404973</v>
      </c>
      <c r="I137" s="119" t="n">
        <v>466649</v>
      </c>
      <c r="J137" s="119" t="n">
        <v>398295</v>
      </c>
      <c r="K137" s="117" t="inlineStr">
        <is>
          <t>Won</t>
        </is>
      </c>
      <c r="L137" s="140" t="n">
        <v>120</v>
      </c>
      <c r="M137" s="117" t="inlineStr">
        <is>
          <t>Rho Corp</t>
        </is>
      </c>
      <c r="N137" s="117" t="inlineStr">
        <is>
          <t>Enterprise (&gt;$200K)</t>
        </is>
      </c>
      <c r="O137" s="117" t="inlineStr">
        <is>
          <t>Partner</t>
        </is>
      </c>
      <c r="P137" s="119">
        <f>H137*0.08</f>
        <v/>
      </c>
      <c r="Q137" s="139" t="n">
        <v>0.01</v>
      </c>
      <c r="R137" s="117" t="inlineStr">
        <is>
          <t>Q4 deal - Partner channel</t>
        </is>
      </c>
    </row>
    <row r="138" ht="15" customHeight="1" s="77">
      <c r="A138" s="108" t="inlineStr">
        <is>
          <t>2025-10-28</t>
        </is>
      </c>
      <c r="B138" s="108" t="inlineStr">
        <is>
          <t>October</t>
        </is>
      </c>
      <c r="C138" s="108" t="inlineStr">
        <is>
          <t>Amanda Foster</t>
        </is>
      </c>
      <c r="D138" s="108" t="inlineStr">
        <is>
          <t>Central</t>
        </is>
      </c>
      <c r="E138" s="108" t="inlineStr">
        <is>
          <t>Product G</t>
        </is>
      </c>
      <c r="F138" s="108" t="inlineStr">
        <is>
          <t>SMB</t>
        </is>
      </c>
      <c r="G138" s="109" t="n">
        <v>12</v>
      </c>
      <c r="H138" s="110" t="n">
        <v>59988</v>
      </c>
      <c r="I138" s="110" t="n">
        <v>61395</v>
      </c>
      <c r="J138" s="110" t="n">
        <v>53845</v>
      </c>
      <c r="K138" s="108" t="inlineStr">
        <is>
          <t>Lost</t>
        </is>
      </c>
      <c r="L138" s="138" t="n">
        <v>37</v>
      </c>
      <c r="M138" s="108" t="inlineStr">
        <is>
          <t>Sigma Inc</t>
        </is>
      </c>
      <c r="N138" s="108" t="inlineStr">
        <is>
          <t>Large ($50K-$200K)</t>
        </is>
      </c>
      <c r="O138" s="108" t="inlineStr">
        <is>
          <t>Email Campaign</t>
        </is>
      </c>
      <c r="P138" s="110">
        <f>H138*0.08</f>
        <v/>
      </c>
      <c r="Q138" s="137" t="n">
        <v>0.02</v>
      </c>
      <c r="R138" s="108" t="inlineStr">
        <is>
          <t>Q1 deal - Email Campaign channel</t>
        </is>
      </c>
    </row>
    <row r="139" ht="15" customHeight="1" s="77">
      <c r="A139" s="117" t="inlineStr">
        <is>
          <t>2025-05-06</t>
        </is>
      </c>
      <c r="B139" s="117" t="inlineStr">
        <is>
          <t>May</t>
        </is>
      </c>
      <c r="C139" s="117" t="inlineStr">
        <is>
          <t>Robert Taylor</t>
        </is>
      </c>
      <c r="D139" s="117" t="inlineStr">
        <is>
          <t>International</t>
        </is>
      </c>
      <c r="E139" s="117" t="inlineStr">
        <is>
          <t>Product H</t>
        </is>
      </c>
      <c r="F139" s="117" t="inlineStr">
        <is>
          <t>Mid-Market</t>
        </is>
      </c>
      <c r="G139" s="118" t="n">
        <v>48</v>
      </c>
      <c r="H139" s="119" t="n">
        <v>479952</v>
      </c>
      <c r="I139" s="119" t="n">
        <v>471870</v>
      </c>
      <c r="J139" s="119" t="n">
        <v>422737</v>
      </c>
      <c r="K139" s="117" t="inlineStr">
        <is>
          <t>In Progress</t>
        </is>
      </c>
      <c r="L139" s="140" t="n">
        <v>42</v>
      </c>
      <c r="M139" s="117" t="inlineStr">
        <is>
          <t>Tau LLC</t>
        </is>
      </c>
      <c r="N139" s="117" t="inlineStr">
        <is>
          <t>Enterprise (&gt;$200K)</t>
        </is>
      </c>
      <c r="O139" s="117" t="inlineStr">
        <is>
          <t>Webinar</t>
        </is>
      </c>
      <c r="P139" s="119">
        <f>H139*0.08</f>
        <v/>
      </c>
      <c r="Q139" s="139" t="n">
        <v>0.02</v>
      </c>
      <c r="R139" s="117" t="inlineStr">
        <is>
          <t>Q2 deal - Webinar channel</t>
        </is>
      </c>
    </row>
    <row r="140" ht="15" customHeight="1" s="77">
      <c r="A140" s="108" t="inlineStr">
        <is>
          <t>2025-05-09</t>
        </is>
      </c>
      <c r="B140" s="108" t="inlineStr">
        <is>
          <t>May</t>
        </is>
      </c>
      <c r="C140" s="108" t="inlineStr">
        <is>
          <t>Jennifer Moore</t>
        </is>
      </c>
      <c r="D140" s="108" t="inlineStr">
        <is>
          <t>North</t>
        </is>
      </c>
      <c r="E140" s="108" t="inlineStr">
        <is>
          <t>Product I</t>
        </is>
      </c>
      <c r="F140" s="108" t="inlineStr">
        <is>
          <t>Startup</t>
        </is>
      </c>
      <c r="G140" s="109" t="n">
        <v>41</v>
      </c>
      <c r="H140" s="110" t="n">
        <v>2049959</v>
      </c>
      <c r="I140" s="110" t="n">
        <v>2130647</v>
      </c>
      <c r="J140" s="110" t="n">
        <v>2076477</v>
      </c>
      <c r="K140" s="108" t="inlineStr">
        <is>
          <t>In Progress</t>
        </is>
      </c>
      <c r="L140" s="138" t="n">
        <v>119</v>
      </c>
      <c r="M140" s="108" t="inlineStr">
        <is>
          <t>Upsilon Ltd</t>
        </is>
      </c>
      <c r="N140" s="108" t="inlineStr">
        <is>
          <t>Enterprise (&gt;$200K)</t>
        </is>
      </c>
      <c r="O140" s="108" t="inlineStr">
        <is>
          <t>SEO</t>
        </is>
      </c>
      <c r="P140" s="110">
        <f>H140*0.08</f>
        <v/>
      </c>
      <c r="Q140" s="137" t="n">
        <v>0.15</v>
      </c>
      <c r="R140" s="108" t="inlineStr">
        <is>
          <t>Q3 deal - SEO channel</t>
        </is>
      </c>
    </row>
    <row r="141" ht="15" customHeight="1" s="77">
      <c r="A141" s="117" t="inlineStr">
        <is>
          <t>2025-02-20</t>
        </is>
      </c>
      <c r="B141" s="117" t="inlineStr">
        <is>
          <t>February</t>
        </is>
      </c>
      <c r="C141" s="117" t="inlineStr">
        <is>
          <t>Daniel Jackson</t>
        </is>
      </c>
      <c r="D141" s="117" t="inlineStr">
        <is>
          <t>West</t>
        </is>
      </c>
      <c r="E141" s="117" t="inlineStr">
        <is>
          <t>Product J</t>
        </is>
      </c>
      <c r="F141" s="117" t="inlineStr">
        <is>
          <t>Government</t>
        </is>
      </c>
      <c r="G141" s="118" t="n">
        <v>37</v>
      </c>
      <c r="H141" s="119" t="n">
        <v>739963</v>
      </c>
      <c r="I141" s="119" t="n">
        <v>710541</v>
      </c>
      <c r="J141" s="119" t="n">
        <v>722020</v>
      </c>
      <c r="K141" s="117" t="inlineStr">
        <is>
          <t>Won</t>
        </is>
      </c>
      <c r="L141" s="140" t="n">
        <v>45</v>
      </c>
      <c r="M141" s="117" t="inlineStr">
        <is>
          <t>Phi Co</t>
        </is>
      </c>
      <c r="N141" s="117" t="inlineStr">
        <is>
          <t>Enterprise (&gt;$200K)</t>
        </is>
      </c>
      <c r="O141" s="117" t="inlineStr">
        <is>
          <t>Direct</t>
        </is>
      </c>
      <c r="P141" s="119">
        <f>H141*0.08</f>
        <v/>
      </c>
      <c r="Q141" s="139" t="n">
        <v>0.04</v>
      </c>
      <c r="R141" s="117" t="inlineStr">
        <is>
          <t>Q4 deal - Direct channel</t>
        </is>
      </c>
    </row>
    <row r="142" ht="15" customHeight="1" s="77">
      <c r="A142" s="108" t="inlineStr">
        <is>
          <t>2025-03-13</t>
        </is>
      </c>
      <c r="B142" s="108" t="inlineStr">
        <is>
          <t>March</t>
        </is>
      </c>
      <c r="C142" s="108" t="inlineStr">
        <is>
          <t>Sarah Johnson</t>
        </is>
      </c>
      <c r="D142" s="108" t="inlineStr">
        <is>
          <t>North</t>
        </is>
      </c>
      <c r="E142" s="108" t="inlineStr">
        <is>
          <t>Product A</t>
        </is>
      </c>
      <c r="F142" s="108" t="inlineStr">
        <is>
          <t>Enterprise</t>
        </is>
      </c>
      <c r="G142" s="109" t="n">
        <v>45</v>
      </c>
      <c r="H142" s="110" t="n">
        <v>359955</v>
      </c>
      <c r="I142" s="110" t="n">
        <v>333628</v>
      </c>
      <c r="J142" s="110" t="n">
        <v>315722</v>
      </c>
      <c r="K142" s="108" t="inlineStr">
        <is>
          <t>Won</t>
        </is>
      </c>
      <c r="L142" s="138" t="n">
        <v>66</v>
      </c>
      <c r="M142" s="108" t="inlineStr">
        <is>
          <t>Acme Corp</t>
        </is>
      </c>
      <c r="N142" s="108" t="inlineStr">
        <is>
          <t>Enterprise (&gt;$200K)</t>
        </is>
      </c>
      <c r="O142" s="108" t="inlineStr">
        <is>
          <t>Referral</t>
        </is>
      </c>
      <c r="P142" s="110">
        <f>H142*0.08</f>
        <v/>
      </c>
      <c r="Q142" s="137" t="n">
        <v>0.03</v>
      </c>
      <c r="R142" s="108" t="inlineStr">
        <is>
          <t>Q1 deal - Referral channel</t>
        </is>
      </c>
    </row>
    <row r="143" ht="15" customHeight="1" s="77">
      <c r="A143" s="117" t="inlineStr">
        <is>
          <t>2025-03-11</t>
        </is>
      </c>
      <c r="B143" s="117" t="inlineStr">
        <is>
          <t>March</t>
        </is>
      </c>
      <c r="C143" s="117" t="inlineStr">
        <is>
          <t>Mike Chen</t>
        </is>
      </c>
      <c r="D143" s="117" t="inlineStr">
        <is>
          <t>West</t>
        </is>
      </c>
      <c r="E143" s="117" t="inlineStr">
        <is>
          <t>Product B</t>
        </is>
      </c>
      <c r="F143" s="117" t="inlineStr">
        <is>
          <t>SMB</t>
        </is>
      </c>
      <c r="G143" s="118" t="n">
        <v>43</v>
      </c>
      <c r="H143" s="119" t="n">
        <v>859957</v>
      </c>
      <c r="I143" s="119" t="n">
        <v>802936</v>
      </c>
      <c r="J143" s="119" t="n">
        <v>820701</v>
      </c>
      <c r="K143" s="117" t="inlineStr">
        <is>
          <t>Won</t>
        </is>
      </c>
      <c r="L143" s="140" t="n">
        <v>56</v>
      </c>
      <c r="M143" s="117" t="inlineStr">
        <is>
          <t>Beta Inc</t>
        </is>
      </c>
      <c r="N143" s="117" t="inlineStr">
        <is>
          <t>Enterprise (&gt;$200K)</t>
        </is>
      </c>
      <c r="O143" s="117" t="inlineStr">
        <is>
          <t>Cold Call</t>
        </is>
      </c>
      <c r="P143" s="119">
        <f>H143*0.08</f>
        <v/>
      </c>
      <c r="Q143" s="139" t="n">
        <v>0.04</v>
      </c>
      <c r="R143" s="117" t="inlineStr">
        <is>
          <t>Q2 deal - Cold Call channel</t>
        </is>
      </c>
    </row>
    <row r="144" ht="15" customHeight="1" s="77">
      <c r="A144" s="108" t="inlineStr">
        <is>
          <t>2025-03-04</t>
        </is>
      </c>
      <c r="B144" s="108" t="inlineStr">
        <is>
          <t>March</t>
        </is>
      </c>
      <c r="C144" s="108" t="inlineStr">
        <is>
          <t>Priya Sharma</t>
        </is>
      </c>
      <c r="D144" s="108" t="inlineStr">
        <is>
          <t>East</t>
        </is>
      </c>
      <c r="E144" s="108" t="inlineStr">
        <is>
          <t>Product C</t>
        </is>
      </c>
      <c r="F144" s="108" t="inlineStr">
        <is>
          <t>Mid-Market</t>
        </is>
      </c>
      <c r="G144" s="109" t="n">
        <v>25</v>
      </c>
      <c r="H144" s="110" t="n">
        <v>374975</v>
      </c>
      <c r="I144" s="110" t="n">
        <v>378535</v>
      </c>
      <c r="J144" s="110" t="n">
        <v>408342</v>
      </c>
      <c r="K144" s="108" t="inlineStr">
        <is>
          <t>Won</t>
        </is>
      </c>
      <c r="L144" s="138" t="n">
        <v>63</v>
      </c>
      <c r="M144" s="108" t="inlineStr">
        <is>
          <t>Gamma LLC</t>
        </is>
      </c>
      <c r="N144" s="108" t="inlineStr">
        <is>
          <t>Enterprise (&gt;$200K)</t>
        </is>
      </c>
      <c r="O144" s="108" t="inlineStr">
        <is>
          <t>LinkedIn</t>
        </is>
      </c>
      <c r="P144" s="110">
        <f>H144*0.08</f>
        <v/>
      </c>
      <c r="Q144" s="137" t="n">
        <v>0.01</v>
      </c>
      <c r="R144" s="108" t="inlineStr">
        <is>
          <t>Q3 deal - LinkedIn channel</t>
        </is>
      </c>
    </row>
    <row r="145" ht="15" customHeight="1" s="77">
      <c r="A145" s="117" t="inlineStr">
        <is>
          <t>2025-12-20</t>
        </is>
      </c>
      <c r="B145" s="117" t="inlineStr">
        <is>
          <t>December</t>
        </is>
      </c>
      <c r="C145" s="117" t="inlineStr">
        <is>
          <t>James Williams</t>
        </is>
      </c>
      <c r="D145" s="117" t="inlineStr">
        <is>
          <t>South</t>
        </is>
      </c>
      <c r="E145" s="117" t="inlineStr">
        <is>
          <t>Product D</t>
        </is>
      </c>
      <c r="F145" s="117" t="inlineStr">
        <is>
          <t>Startup</t>
        </is>
      </c>
      <c r="G145" s="118" t="n">
        <v>5</v>
      </c>
      <c r="H145" s="119" t="n">
        <v>24995</v>
      </c>
      <c r="I145" s="119" t="n">
        <v>25090</v>
      </c>
      <c r="J145" s="119" t="n">
        <v>25973</v>
      </c>
      <c r="K145" s="117" t="inlineStr">
        <is>
          <t>Lost</t>
        </is>
      </c>
      <c r="L145" s="140" t="n">
        <v>30</v>
      </c>
      <c r="M145" s="117" t="inlineStr">
        <is>
          <t>Delta Ltd</t>
        </is>
      </c>
      <c r="N145" s="117" t="inlineStr">
        <is>
          <t>Medium ($10K-$50K)</t>
        </is>
      </c>
      <c r="O145" s="117" t="inlineStr">
        <is>
          <t>Trade Show</t>
        </is>
      </c>
      <c r="P145" s="119">
        <f>H145*0.08</f>
        <v/>
      </c>
      <c r="Q145" s="139" t="n">
        <v>0.01</v>
      </c>
      <c r="R145" s="117" t="inlineStr">
        <is>
          <t>Q4 deal - Trade Show channel</t>
        </is>
      </c>
    </row>
    <row r="146" ht="15" customHeight="1" s="77">
      <c r="A146" s="108" t="inlineStr">
        <is>
          <t>2025-12-15</t>
        </is>
      </c>
      <c r="B146" s="108" t="inlineStr">
        <is>
          <t>December</t>
        </is>
      </c>
      <c r="C146" s="108" t="inlineStr">
        <is>
          <t>Emily Davis</t>
        </is>
      </c>
      <c r="D146" s="108" t="inlineStr">
        <is>
          <t>Central</t>
        </is>
      </c>
      <c r="E146" s="108" t="inlineStr">
        <is>
          <t>Product E</t>
        </is>
      </c>
      <c r="F146" s="108" t="inlineStr">
        <is>
          <t>Government</t>
        </is>
      </c>
      <c r="G146" s="109" t="n">
        <v>15</v>
      </c>
      <c r="H146" s="110" t="n">
        <v>119985</v>
      </c>
      <c r="I146" s="110" t="n">
        <v>137218</v>
      </c>
      <c r="J146" s="110" t="n">
        <v>128950</v>
      </c>
      <c r="K146" s="108" t="inlineStr">
        <is>
          <t>In Progress</t>
        </is>
      </c>
      <c r="L146" s="138" t="n">
        <v>88</v>
      </c>
      <c r="M146" s="108" t="inlineStr">
        <is>
          <t>Epsilon Co</t>
        </is>
      </c>
      <c r="N146" s="108" t="inlineStr">
        <is>
          <t>Large ($50K-$200K)</t>
        </is>
      </c>
      <c r="O146" s="108" t="inlineStr">
        <is>
          <t>Website</t>
        </is>
      </c>
      <c r="P146" s="110">
        <f>H146*0.08</f>
        <v/>
      </c>
      <c r="Q146" s="137" t="n">
        <v>0.03</v>
      </c>
      <c r="R146" s="108" t="inlineStr">
        <is>
          <t>Q1 deal - Website channel</t>
        </is>
      </c>
    </row>
    <row r="147" ht="15" customHeight="1" s="77">
      <c r="A147" s="117" t="inlineStr">
        <is>
          <t>2025-08-13</t>
        </is>
      </c>
      <c r="B147" s="117" t="inlineStr">
        <is>
          <t>August</t>
        </is>
      </c>
      <c r="C147" s="117" t="inlineStr">
        <is>
          <t>Carlos Ruiz</t>
        </is>
      </c>
      <c r="D147" s="117" t="inlineStr">
        <is>
          <t>International</t>
        </is>
      </c>
      <c r="E147" s="117" t="inlineStr">
        <is>
          <t>Product F</t>
        </is>
      </c>
      <c r="F147" s="117" t="inlineStr">
        <is>
          <t>Enterprise</t>
        </is>
      </c>
      <c r="G147" s="118" t="n">
        <v>31</v>
      </c>
      <c r="H147" s="119" t="n">
        <v>247969</v>
      </c>
      <c r="I147" s="119" t="n">
        <v>239398</v>
      </c>
      <c r="J147" s="119" t="n">
        <v>271759</v>
      </c>
      <c r="K147" s="117" t="inlineStr">
        <is>
          <t>In Progress</t>
        </is>
      </c>
      <c r="L147" s="140" t="n">
        <v>64</v>
      </c>
      <c r="M147" s="117" t="inlineStr">
        <is>
          <t>Zeta Corp</t>
        </is>
      </c>
      <c r="N147" s="117" t="inlineStr">
        <is>
          <t>Enterprise (&gt;$200K)</t>
        </is>
      </c>
      <c r="O147" s="117" t="inlineStr">
        <is>
          <t>Partner</t>
        </is>
      </c>
      <c r="P147" s="119">
        <f>H147*0.08</f>
        <v/>
      </c>
      <c r="Q147" s="139" t="n">
        <v>0.08</v>
      </c>
      <c r="R147" s="117" t="inlineStr">
        <is>
          <t>Q2 deal - Partner channel</t>
        </is>
      </c>
    </row>
    <row r="148" ht="15" customHeight="1" s="77">
      <c r="A148" s="108" t="inlineStr">
        <is>
          <t>2025-04-15</t>
        </is>
      </c>
      <c r="B148" s="108" t="inlineStr">
        <is>
          <t>April</t>
        </is>
      </c>
      <c r="C148" s="108" t="inlineStr">
        <is>
          <t>Lisa Park</t>
        </is>
      </c>
      <c r="D148" s="108" t="inlineStr">
        <is>
          <t>North</t>
        </is>
      </c>
      <c r="E148" s="108" t="inlineStr">
        <is>
          <t>Product G</t>
        </is>
      </c>
      <c r="F148" s="108" t="inlineStr">
        <is>
          <t>SMB</t>
        </is>
      </c>
      <c r="G148" s="109" t="n">
        <v>41</v>
      </c>
      <c r="H148" s="110" t="n">
        <v>2049959</v>
      </c>
      <c r="I148" s="110" t="n">
        <v>2404193</v>
      </c>
      <c r="J148" s="110" t="n">
        <v>2211246</v>
      </c>
      <c r="K148" s="108" t="inlineStr">
        <is>
          <t>Won</t>
        </is>
      </c>
      <c r="L148" s="138" t="n">
        <v>118</v>
      </c>
      <c r="M148" s="108" t="inlineStr">
        <is>
          <t>Eta Inc</t>
        </is>
      </c>
      <c r="N148" s="108" t="inlineStr">
        <is>
          <t>Enterprise (&gt;$200K)</t>
        </is>
      </c>
      <c r="O148" s="108" t="inlineStr">
        <is>
          <t>Email Campaign</t>
        </is>
      </c>
      <c r="P148" s="110">
        <f>H148*0.08</f>
        <v/>
      </c>
      <c r="Q148" s="137" t="n">
        <v>0.15</v>
      </c>
      <c r="R148" s="108" t="inlineStr">
        <is>
          <t>Q3 deal - Email Campaign channel</t>
        </is>
      </c>
    </row>
    <row r="149" ht="15" customHeight="1" s="77">
      <c r="A149" s="117" t="inlineStr">
        <is>
          <t>2025-12-25</t>
        </is>
      </c>
      <c r="B149" s="117" t="inlineStr">
        <is>
          <t>December</t>
        </is>
      </c>
      <c r="C149" s="117" t="inlineStr">
        <is>
          <t>Tom Brown</t>
        </is>
      </c>
      <c r="D149" s="117" t="inlineStr">
        <is>
          <t>West</t>
        </is>
      </c>
      <c r="E149" s="117" t="inlineStr">
        <is>
          <t>Product H</t>
        </is>
      </c>
      <c r="F149" s="117" t="inlineStr">
        <is>
          <t>Mid-Market</t>
        </is>
      </c>
      <c r="G149" s="118" t="n">
        <v>35</v>
      </c>
      <c r="H149" s="119" t="n">
        <v>524965</v>
      </c>
      <c r="I149" s="119" t="n">
        <v>622920</v>
      </c>
      <c r="J149" s="119" t="n">
        <v>544900</v>
      </c>
      <c r="K149" s="117" t="inlineStr">
        <is>
          <t>Won</t>
        </is>
      </c>
      <c r="L149" s="140" t="n">
        <v>105</v>
      </c>
      <c r="M149" s="117" t="inlineStr">
        <is>
          <t>Theta LLC</t>
        </is>
      </c>
      <c r="N149" s="117" t="inlineStr">
        <is>
          <t>Enterprise (&gt;$200K)</t>
        </is>
      </c>
      <c r="O149" s="117" t="inlineStr">
        <is>
          <t>Webinar</t>
        </is>
      </c>
      <c r="P149" s="119">
        <f>H149*0.08</f>
        <v/>
      </c>
      <c r="Q149" s="139" t="n">
        <v>0.02</v>
      </c>
      <c r="R149" s="117" t="inlineStr">
        <is>
          <t>Q4 deal - Webinar channel</t>
        </is>
      </c>
    </row>
    <row r="150" ht="15" customHeight="1" s="77">
      <c r="A150" s="108" t="inlineStr">
        <is>
          <t>2025-12-24</t>
        </is>
      </c>
      <c r="B150" s="108" t="inlineStr">
        <is>
          <t>December</t>
        </is>
      </c>
      <c r="C150" s="108" t="inlineStr">
        <is>
          <t>Anna Schmidt</t>
        </is>
      </c>
      <c r="D150" s="108" t="inlineStr">
        <is>
          <t>East</t>
        </is>
      </c>
      <c r="E150" s="108" t="inlineStr">
        <is>
          <t>Product I</t>
        </is>
      </c>
      <c r="F150" s="108" t="inlineStr">
        <is>
          <t>Startup</t>
        </is>
      </c>
      <c r="G150" s="109" t="n">
        <v>32</v>
      </c>
      <c r="H150" s="110" t="n">
        <v>639968</v>
      </c>
      <c r="I150" s="110" t="n">
        <v>653803</v>
      </c>
      <c r="J150" s="110" t="n">
        <v>675702</v>
      </c>
      <c r="K150" s="108" t="inlineStr">
        <is>
          <t>Won</t>
        </is>
      </c>
      <c r="L150" s="138" t="n">
        <v>119</v>
      </c>
      <c r="M150" s="108" t="inlineStr">
        <is>
          <t>Iota Ltd</t>
        </is>
      </c>
      <c r="N150" s="108" t="inlineStr">
        <is>
          <t>Enterprise (&gt;$200K)</t>
        </is>
      </c>
      <c r="O150" s="108" t="inlineStr">
        <is>
          <t>SEO</t>
        </is>
      </c>
      <c r="P150" s="110">
        <f>H150*0.08</f>
        <v/>
      </c>
      <c r="Q150" s="137" t="n">
        <v>0.14</v>
      </c>
      <c r="R150" s="108" t="inlineStr">
        <is>
          <t>Q1 deal - SEO channel</t>
        </is>
      </c>
    </row>
    <row r="151" ht="15" customHeight="1" s="77">
      <c r="A151" s="117" t="inlineStr">
        <is>
          <t>2025-11-13</t>
        </is>
      </c>
      <c r="B151" s="117" t="inlineStr">
        <is>
          <t>November</t>
        </is>
      </c>
      <c r="C151" s="117" t="inlineStr">
        <is>
          <t>David Kim</t>
        </is>
      </c>
      <c r="D151" s="117" t="inlineStr">
        <is>
          <t>South</t>
        </is>
      </c>
      <c r="E151" s="117" t="inlineStr">
        <is>
          <t>Product J</t>
        </is>
      </c>
      <c r="F151" s="117" t="inlineStr">
        <is>
          <t>Government</t>
        </is>
      </c>
      <c r="G151" s="118" t="n">
        <v>5</v>
      </c>
      <c r="H151" s="119" t="n">
        <v>49995</v>
      </c>
      <c r="I151" s="119" t="n">
        <v>45750</v>
      </c>
      <c r="J151" s="119" t="n">
        <v>51105</v>
      </c>
      <c r="K151" s="117" t="inlineStr">
        <is>
          <t>Won</t>
        </is>
      </c>
      <c r="L151" s="140" t="n">
        <v>70</v>
      </c>
      <c r="M151" s="117" t="inlineStr">
        <is>
          <t>Kappa Co</t>
        </is>
      </c>
      <c r="N151" s="117" t="inlineStr">
        <is>
          <t>Medium ($10K-$50K)</t>
        </is>
      </c>
      <c r="O151" s="117" t="inlineStr">
        <is>
          <t>Direct</t>
        </is>
      </c>
      <c r="P151" s="119">
        <f>H151*0.08</f>
        <v/>
      </c>
      <c r="Q151" s="139" t="n">
        <v>0.02</v>
      </c>
      <c r="R151" s="117" t="inlineStr">
        <is>
          <t>Q2 deal - Direct channel</t>
        </is>
      </c>
    </row>
    <row r="152" ht="15" customHeight="1" s="77">
      <c r="A152" s="108" t="inlineStr">
        <is>
          <t>2025-06-22</t>
        </is>
      </c>
      <c r="B152" s="108" t="inlineStr">
        <is>
          <t>June</t>
        </is>
      </c>
      <c r="C152" s="108" t="inlineStr">
        <is>
          <t>Rachel Green</t>
        </is>
      </c>
      <c r="D152" s="108" t="inlineStr">
        <is>
          <t>Central</t>
        </is>
      </c>
      <c r="E152" s="108" t="inlineStr">
        <is>
          <t>Product A</t>
        </is>
      </c>
      <c r="F152" s="108" t="inlineStr">
        <is>
          <t>Enterprise</t>
        </is>
      </c>
      <c r="G152" s="109" t="n">
        <v>40</v>
      </c>
      <c r="H152" s="110" t="n">
        <v>1999960</v>
      </c>
      <c r="I152" s="110" t="n">
        <v>1802197</v>
      </c>
      <c r="J152" s="110" t="n">
        <v>1959775</v>
      </c>
      <c r="K152" s="108" t="inlineStr">
        <is>
          <t>Lost</t>
        </is>
      </c>
      <c r="L152" s="138" t="n">
        <v>107</v>
      </c>
      <c r="M152" s="108" t="inlineStr">
        <is>
          <t>Lambda Corp</t>
        </is>
      </c>
      <c r="N152" s="108" t="inlineStr">
        <is>
          <t>Enterprise (&gt;$200K)</t>
        </is>
      </c>
      <c r="O152" s="108" t="inlineStr">
        <is>
          <t>Referral</t>
        </is>
      </c>
      <c r="P152" s="110">
        <f>H152*0.08</f>
        <v/>
      </c>
      <c r="Q152" s="137" t="n">
        <v>0.1</v>
      </c>
      <c r="R152" s="108" t="inlineStr">
        <is>
          <t>Q3 deal - Referral channel</t>
        </is>
      </c>
    </row>
    <row r="153" ht="15" customHeight="1" s="77">
      <c r="A153" s="117" t="inlineStr">
        <is>
          <t>2025-02-12</t>
        </is>
      </c>
      <c r="B153" s="117" t="inlineStr">
        <is>
          <t>February</t>
        </is>
      </c>
      <c r="C153" s="117" t="inlineStr">
        <is>
          <t>Mark Thompson</t>
        </is>
      </c>
      <c r="D153" s="117" t="inlineStr">
        <is>
          <t>International</t>
        </is>
      </c>
      <c r="E153" s="117" t="inlineStr">
        <is>
          <t>Product B</t>
        </is>
      </c>
      <c r="F153" s="117" t="inlineStr">
        <is>
          <t>SMB</t>
        </is>
      </c>
      <c r="G153" s="118" t="n">
        <v>12</v>
      </c>
      <c r="H153" s="119" t="n">
        <v>239988</v>
      </c>
      <c r="I153" s="119" t="n">
        <v>220022</v>
      </c>
      <c r="J153" s="119" t="n">
        <v>204560</v>
      </c>
      <c r="K153" s="117" t="inlineStr">
        <is>
          <t>In Progress</t>
        </is>
      </c>
      <c r="L153" s="140" t="n">
        <v>19</v>
      </c>
      <c r="M153" s="117" t="inlineStr">
        <is>
          <t>Mu Inc</t>
        </is>
      </c>
      <c r="N153" s="117" t="inlineStr">
        <is>
          <t>Enterprise (&gt;$200K)</t>
        </is>
      </c>
      <c r="O153" s="117" t="inlineStr">
        <is>
          <t>Cold Call</t>
        </is>
      </c>
      <c r="P153" s="119">
        <f>H153*0.08</f>
        <v/>
      </c>
      <c r="Q153" s="139" t="n">
        <v>0.13</v>
      </c>
      <c r="R153" s="117" t="inlineStr">
        <is>
          <t>Q4 deal - Cold Call channel</t>
        </is>
      </c>
    </row>
    <row r="154" ht="15" customHeight="1" s="77">
      <c r="A154" s="108" t="inlineStr">
        <is>
          <t>2025-06-28</t>
        </is>
      </c>
      <c r="B154" s="108" t="inlineStr">
        <is>
          <t>June</t>
        </is>
      </c>
      <c r="C154" s="108" t="inlineStr">
        <is>
          <t>Susan Lee</t>
        </is>
      </c>
      <c r="D154" s="108" t="inlineStr">
        <is>
          <t>North</t>
        </is>
      </c>
      <c r="E154" s="108" t="inlineStr">
        <is>
          <t>Product C</t>
        </is>
      </c>
      <c r="F154" s="108" t="inlineStr">
        <is>
          <t>Mid-Market</t>
        </is>
      </c>
      <c r="G154" s="109" t="n">
        <v>33</v>
      </c>
      <c r="H154" s="110" t="n">
        <v>263967</v>
      </c>
      <c r="I154" s="110" t="n">
        <v>286114</v>
      </c>
      <c r="J154" s="110" t="n">
        <v>287809</v>
      </c>
      <c r="K154" s="108" t="inlineStr">
        <is>
          <t>In Progress</t>
        </is>
      </c>
      <c r="L154" s="138" t="n">
        <v>64</v>
      </c>
      <c r="M154" s="108" t="inlineStr">
        <is>
          <t>Nu LLC</t>
        </is>
      </c>
      <c r="N154" s="108" t="inlineStr">
        <is>
          <t>Enterprise (&gt;$200K)</t>
        </is>
      </c>
      <c r="O154" s="108" t="inlineStr">
        <is>
          <t>LinkedIn</t>
        </is>
      </c>
      <c r="P154" s="110">
        <f>H154*0.08</f>
        <v/>
      </c>
      <c r="Q154" s="137" t="n">
        <v>0.13</v>
      </c>
      <c r="R154" s="108" t="inlineStr">
        <is>
          <t>Q1 deal - LinkedIn channel</t>
        </is>
      </c>
    </row>
    <row r="155" ht="15" customHeight="1" s="77">
      <c r="A155" s="117" t="inlineStr">
        <is>
          <t>2025-11-19</t>
        </is>
      </c>
      <c r="B155" s="117" t="inlineStr">
        <is>
          <t>November</t>
        </is>
      </c>
      <c r="C155" s="117" t="inlineStr">
        <is>
          <t>Kevin Martin</t>
        </is>
      </c>
      <c r="D155" s="117" t="inlineStr">
        <is>
          <t>West</t>
        </is>
      </c>
      <c r="E155" s="117" t="inlineStr">
        <is>
          <t>Product D</t>
        </is>
      </c>
      <c r="F155" s="117" t="inlineStr">
        <is>
          <t>Startup</t>
        </is>
      </c>
      <c r="G155" s="118" t="n">
        <v>43</v>
      </c>
      <c r="H155" s="119" t="n">
        <v>2149957</v>
      </c>
      <c r="I155" s="119" t="n">
        <v>2188526</v>
      </c>
      <c r="J155" s="119" t="n">
        <v>2030265</v>
      </c>
      <c r="K155" s="117" t="inlineStr">
        <is>
          <t>Won</t>
        </is>
      </c>
      <c r="L155" s="140" t="n">
        <v>27</v>
      </c>
      <c r="M155" s="117" t="inlineStr">
        <is>
          <t>Xi Ltd</t>
        </is>
      </c>
      <c r="N155" s="117" t="inlineStr">
        <is>
          <t>Enterprise (&gt;$200K)</t>
        </is>
      </c>
      <c r="O155" s="117" t="inlineStr">
        <is>
          <t>Trade Show</t>
        </is>
      </c>
      <c r="P155" s="119">
        <f>H155*0.08</f>
        <v/>
      </c>
      <c r="Q155" s="139" t="n">
        <v>0.04</v>
      </c>
      <c r="R155" s="117" t="inlineStr">
        <is>
          <t>Q2 deal - Trade Show channel</t>
        </is>
      </c>
    </row>
    <row r="156" ht="15" customHeight="1" s="77">
      <c r="A156" s="108" t="inlineStr">
        <is>
          <t>2025-10-11</t>
        </is>
      </c>
      <c r="B156" s="108" t="inlineStr">
        <is>
          <t>October</t>
        </is>
      </c>
      <c r="C156" s="108" t="inlineStr">
        <is>
          <t>Nina Patel</t>
        </is>
      </c>
      <c r="D156" s="108" t="inlineStr">
        <is>
          <t>East</t>
        </is>
      </c>
      <c r="E156" s="108" t="inlineStr">
        <is>
          <t>Product E</t>
        </is>
      </c>
      <c r="F156" s="108" t="inlineStr">
        <is>
          <t>Government</t>
        </is>
      </c>
      <c r="G156" s="109" t="n">
        <v>50</v>
      </c>
      <c r="H156" s="110" t="n">
        <v>1499950</v>
      </c>
      <c r="I156" s="110" t="n">
        <v>1390751</v>
      </c>
      <c r="J156" s="110" t="n">
        <v>1382167</v>
      </c>
      <c r="K156" s="108" t="inlineStr">
        <is>
          <t>Won</t>
        </is>
      </c>
      <c r="L156" s="138" t="n">
        <v>104</v>
      </c>
      <c r="M156" s="108" t="inlineStr">
        <is>
          <t>Pi Co</t>
        </is>
      </c>
      <c r="N156" s="108" t="inlineStr">
        <is>
          <t>Enterprise (&gt;$200K)</t>
        </is>
      </c>
      <c r="O156" s="108" t="inlineStr">
        <is>
          <t>Website</t>
        </is>
      </c>
      <c r="P156" s="110">
        <f>H156*0.08</f>
        <v/>
      </c>
      <c r="Q156" s="137" t="n">
        <v>0.05</v>
      </c>
      <c r="R156" s="108" t="inlineStr">
        <is>
          <t>Q3 deal - Website channel</t>
        </is>
      </c>
    </row>
    <row r="157" ht="15" customHeight="1" s="77">
      <c r="A157" s="117" t="inlineStr">
        <is>
          <t>2025-04-23</t>
        </is>
      </c>
      <c r="B157" s="117" t="inlineStr">
        <is>
          <t>April</t>
        </is>
      </c>
      <c r="C157" s="117" t="inlineStr">
        <is>
          <t>Chris Wilson</t>
        </is>
      </c>
      <c r="D157" s="117" t="inlineStr">
        <is>
          <t>South</t>
        </is>
      </c>
      <c r="E157" s="117" t="inlineStr">
        <is>
          <t>Product F</t>
        </is>
      </c>
      <c r="F157" s="117" t="inlineStr">
        <is>
          <t>Enterprise</t>
        </is>
      </c>
      <c r="G157" s="118" t="n">
        <v>33</v>
      </c>
      <c r="H157" s="119" t="n">
        <v>659967</v>
      </c>
      <c r="I157" s="119" t="n">
        <v>630327</v>
      </c>
      <c r="J157" s="119" t="n">
        <v>668356</v>
      </c>
      <c r="K157" s="117" t="inlineStr">
        <is>
          <t>Won</t>
        </is>
      </c>
      <c r="L157" s="140" t="n">
        <v>67</v>
      </c>
      <c r="M157" s="117" t="inlineStr">
        <is>
          <t>Rho Corp</t>
        </is>
      </c>
      <c r="N157" s="117" t="inlineStr">
        <is>
          <t>Enterprise (&gt;$200K)</t>
        </is>
      </c>
      <c r="O157" s="117" t="inlineStr">
        <is>
          <t>Partner</t>
        </is>
      </c>
      <c r="P157" s="119">
        <f>H157*0.08</f>
        <v/>
      </c>
      <c r="Q157" s="139" t="n">
        <v>0.01</v>
      </c>
      <c r="R157" s="117" t="inlineStr">
        <is>
          <t>Q4 deal - Partner channel</t>
        </is>
      </c>
    </row>
    <row r="158" ht="15" customHeight="1" s="77">
      <c r="A158" s="108" t="inlineStr">
        <is>
          <t>2025-11-25</t>
        </is>
      </c>
      <c r="B158" s="108" t="inlineStr">
        <is>
          <t>November</t>
        </is>
      </c>
      <c r="C158" s="108" t="inlineStr">
        <is>
          <t>Amanda Foster</t>
        </is>
      </c>
      <c r="D158" s="108" t="inlineStr">
        <is>
          <t>Central</t>
        </is>
      </c>
      <c r="E158" s="108" t="inlineStr">
        <is>
          <t>Product G</t>
        </is>
      </c>
      <c r="F158" s="108" t="inlineStr">
        <is>
          <t>SMB</t>
        </is>
      </c>
      <c r="G158" s="109" t="n">
        <v>20</v>
      </c>
      <c r="H158" s="110" t="n">
        <v>499980</v>
      </c>
      <c r="I158" s="110" t="n">
        <v>550588</v>
      </c>
      <c r="J158" s="110" t="n">
        <v>541118</v>
      </c>
      <c r="K158" s="108" t="inlineStr">
        <is>
          <t>Won</t>
        </is>
      </c>
      <c r="L158" s="138" t="n">
        <v>112</v>
      </c>
      <c r="M158" s="108" t="inlineStr">
        <is>
          <t>Sigma Inc</t>
        </is>
      </c>
      <c r="N158" s="108" t="inlineStr">
        <is>
          <t>Enterprise (&gt;$200K)</t>
        </is>
      </c>
      <c r="O158" s="108" t="inlineStr">
        <is>
          <t>Email Campaign</t>
        </is>
      </c>
      <c r="P158" s="110">
        <f>H158*0.08</f>
        <v/>
      </c>
      <c r="Q158" s="137" t="n">
        <v>0</v>
      </c>
      <c r="R158" s="108" t="inlineStr">
        <is>
          <t>Q1 deal - Email Campaign channel</t>
        </is>
      </c>
    </row>
    <row r="159" ht="15" customHeight="1" s="77">
      <c r="A159" s="117" t="inlineStr">
        <is>
          <t>2025-01-11</t>
        </is>
      </c>
      <c r="B159" s="117" t="inlineStr">
        <is>
          <t>January</t>
        </is>
      </c>
      <c r="C159" s="117" t="inlineStr">
        <is>
          <t>Robert Taylor</t>
        </is>
      </c>
      <c r="D159" s="117" t="inlineStr">
        <is>
          <t>International</t>
        </is>
      </c>
      <c r="E159" s="117" t="inlineStr">
        <is>
          <t>Product H</t>
        </is>
      </c>
      <c r="F159" s="117" t="inlineStr">
        <is>
          <t>Mid-Market</t>
        </is>
      </c>
      <c r="G159" s="118" t="n">
        <v>19</v>
      </c>
      <c r="H159" s="119" t="n">
        <v>379981</v>
      </c>
      <c r="I159" s="119" t="n">
        <v>382165</v>
      </c>
      <c r="J159" s="119" t="n">
        <v>413045</v>
      </c>
      <c r="K159" s="117" t="inlineStr">
        <is>
          <t>Lost</t>
        </is>
      </c>
      <c r="L159" s="140" t="n">
        <v>68</v>
      </c>
      <c r="M159" s="117" t="inlineStr">
        <is>
          <t>Tau LLC</t>
        </is>
      </c>
      <c r="N159" s="117" t="inlineStr">
        <is>
          <t>Enterprise (&gt;$200K)</t>
        </is>
      </c>
      <c r="O159" s="117" t="inlineStr">
        <is>
          <t>Webinar</t>
        </is>
      </c>
      <c r="P159" s="119">
        <f>H159*0.08</f>
        <v/>
      </c>
      <c r="Q159" s="139" t="n">
        <v>0.02</v>
      </c>
      <c r="R159" s="117" t="inlineStr">
        <is>
          <t>Q2 deal - Webinar channel</t>
        </is>
      </c>
    </row>
    <row r="160" ht="15" customHeight="1" s="77">
      <c r="A160" s="108" t="inlineStr">
        <is>
          <t>2025-03-05</t>
        </is>
      </c>
      <c r="B160" s="108" t="inlineStr">
        <is>
          <t>March</t>
        </is>
      </c>
      <c r="C160" s="108" t="inlineStr">
        <is>
          <t>Jennifer Moore</t>
        </is>
      </c>
      <c r="D160" s="108" t="inlineStr">
        <is>
          <t>North</t>
        </is>
      </c>
      <c r="E160" s="108" t="inlineStr">
        <is>
          <t>Product I</t>
        </is>
      </c>
      <c r="F160" s="108" t="inlineStr">
        <is>
          <t>Startup</t>
        </is>
      </c>
      <c r="G160" s="109" t="n">
        <v>40</v>
      </c>
      <c r="H160" s="110" t="n">
        <v>999960</v>
      </c>
      <c r="I160" s="110" t="n">
        <v>900539</v>
      </c>
      <c r="J160" s="110" t="n">
        <v>1043721</v>
      </c>
      <c r="K160" s="108" t="inlineStr">
        <is>
          <t>In Progress</t>
        </is>
      </c>
      <c r="L160" s="138" t="n">
        <v>56</v>
      </c>
      <c r="M160" s="108" t="inlineStr">
        <is>
          <t>Upsilon Ltd</t>
        </is>
      </c>
      <c r="N160" s="108" t="inlineStr">
        <is>
          <t>Enterprise (&gt;$200K)</t>
        </is>
      </c>
      <c r="O160" s="108" t="inlineStr">
        <is>
          <t>SEO</t>
        </is>
      </c>
      <c r="P160" s="110">
        <f>H160*0.08</f>
        <v/>
      </c>
      <c r="Q160" s="137" t="n">
        <v>0.02</v>
      </c>
      <c r="R160" s="108" t="inlineStr">
        <is>
          <t>Q3 deal - SEO channel</t>
        </is>
      </c>
    </row>
    <row r="161" ht="15" customHeight="1" s="77">
      <c r="A161" s="117" t="inlineStr">
        <is>
          <t>2025-12-20</t>
        </is>
      </c>
      <c r="B161" s="117" t="inlineStr">
        <is>
          <t>December</t>
        </is>
      </c>
      <c r="C161" s="117" t="inlineStr">
        <is>
          <t>Daniel Jackson</t>
        </is>
      </c>
      <c r="D161" s="117" t="inlineStr">
        <is>
          <t>West</t>
        </is>
      </c>
      <c r="E161" s="117" t="inlineStr">
        <is>
          <t>Product J</t>
        </is>
      </c>
      <c r="F161" s="117" t="inlineStr">
        <is>
          <t>Government</t>
        </is>
      </c>
      <c r="G161" s="118" t="n">
        <v>23</v>
      </c>
      <c r="H161" s="119" t="n">
        <v>459977</v>
      </c>
      <c r="I161" s="119" t="n">
        <v>537133</v>
      </c>
      <c r="J161" s="119" t="n">
        <v>406331</v>
      </c>
      <c r="K161" s="117" t="inlineStr">
        <is>
          <t>In Progress</t>
        </is>
      </c>
      <c r="L161" s="140" t="n">
        <v>30</v>
      </c>
      <c r="M161" s="117" t="inlineStr">
        <is>
          <t>Phi Co</t>
        </is>
      </c>
      <c r="N161" s="117" t="inlineStr">
        <is>
          <t>Enterprise (&gt;$200K)</t>
        </is>
      </c>
      <c r="O161" s="117" t="inlineStr">
        <is>
          <t>Direct</t>
        </is>
      </c>
      <c r="P161" s="119">
        <f>H161*0.08</f>
        <v/>
      </c>
      <c r="Q161" s="139" t="n">
        <v>0.04</v>
      </c>
      <c r="R161" s="117" t="inlineStr">
        <is>
          <t>Q4 deal - Direct channel</t>
        </is>
      </c>
    </row>
    <row r="162" ht="15" customHeight="1" s="77">
      <c r="A162" s="108" t="inlineStr">
        <is>
          <t>2025-01-28</t>
        </is>
      </c>
      <c r="B162" s="108" t="inlineStr">
        <is>
          <t>January</t>
        </is>
      </c>
      <c r="C162" s="108" t="inlineStr">
        <is>
          <t>Sarah Johnson</t>
        </is>
      </c>
      <c r="D162" s="108" t="inlineStr">
        <is>
          <t>North</t>
        </is>
      </c>
      <c r="E162" s="108" t="inlineStr">
        <is>
          <t>Product A</t>
        </is>
      </c>
      <c r="F162" s="108" t="inlineStr">
        <is>
          <t>Enterprise</t>
        </is>
      </c>
      <c r="G162" s="109" t="n">
        <v>16</v>
      </c>
      <c r="H162" s="110" t="n">
        <v>479984</v>
      </c>
      <c r="I162" s="110" t="n">
        <v>536596</v>
      </c>
      <c r="J162" s="110" t="n">
        <v>522187</v>
      </c>
      <c r="K162" s="108" t="inlineStr">
        <is>
          <t>Won</t>
        </is>
      </c>
      <c r="L162" s="138" t="n">
        <v>61</v>
      </c>
      <c r="M162" s="108" t="inlineStr">
        <is>
          <t>Acme Corp</t>
        </is>
      </c>
      <c r="N162" s="108" t="inlineStr">
        <is>
          <t>Enterprise (&gt;$200K)</t>
        </is>
      </c>
      <c r="O162" s="108" t="inlineStr">
        <is>
          <t>Referral</t>
        </is>
      </c>
      <c r="P162" s="110">
        <f>H162*0.08</f>
        <v/>
      </c>
      <c r="Q162" s="137" t="n">
        <v>0.09</v>
      </c>
      <c r="R162" s="108" t="inlineStr">
        <is>
          <t>Q1 deal - Referral channel</t>
        </is>
      </c>
    </row>
    <row r="163" ht="15" customHeight="1" s="77">
      <c r="A163" s="117" t="inlineStr">
        <is>
          <t>2025-07-26</t>
        </is>
      </c>
      <c r="B163" s="117" t="inlineStr">
        <is>
          <t>July</t>
        </is>
      </c>
      <c r="C163" s="117" t="inlineStr">
        <is>
          <t>Mike Chen</t>
        </is>
      </c>
      <c r="D163" s="117" t="inlineStr">
        <is>
          <t>West</t>
        </is>
      </c>
      <c r="E163" s="117" t="inlineStr">
        <is>
          <t>Product B</t>
        </is>
      </c>
      <c r="F163" s="117" t="inlineStr">
        <is>
          <t>SMB</t>
        </is>
      </c>
      <c r="G163" s="118" t="n">
        <v>37</v>
      </c>
      <c r="H163" s="119" t="n">
        <v>924963</v>
      </c>
      <c r="I163" s="119" t="n">
        <v>923753</v>
      </c>
      <c r="J163" s="119" t="n">
        <v>1003412</v>
      </c>
      <c r="K163" s="117" t="inlineStr">
        <is>
          <t>Won</t>
        </is>
      </c>
      <c r="L163" s="140" t="n">
        <v>72</v>
      </c>
      <c r="M163" s="117" t="inlineStr">
        <is>
          <t>Beta Inc</t>
        </is>
      </c>
      <c r="N163" s="117" t="inlineStr">
        <is>
          <t>Enterprise (&gt;$200K)</t>
        </is>
      </c>
      <c r="O163" s="117" t="inlineStr">
        <is>
          <t>Cold Call</t>
        </is>
      </c>
      <c r="P163" s="119">
        <f>H163*0.08</f>
        <v/>
      </c>
      <c r="Q163" s="139" t="n">
        <v>0.11</v>
      </c>
      <c r="R163" s="117" t="inlineStr">
        <is>
          <t>Q2 deal - Cold Call channel</t>
        </is>
      </c>
    </row>
    <row r="164" ht="15" customHeight="1" s="77">
      <c r="A164" s="108" t="inlineStr">
        <is>
          <t>2025-10-25</t>
        </is>
      </c>
      <c r="B164" s="108" t="inlineStr">
        <is>
          <t>October</t>
        </is>
      </c>
      <c r="C164" s="108" t="inlineStr">
        <is>
          <t>Priya Sharma</t>
        </is>
      </c>
      <c r="D164" s="108" t="inlineStr">
        <is>
          <t>East</t>
        </is>
      </c>
      <c r="E164" s="108" t="inlineStr">
        <is>
          <t>Product C</t>
        </is>
      </c>
      <c r="F164" s="108" t="inlineStr">
        <is>
          <t>Mid-Market</t>
        </is>
      </c>
      <c r="G164" s="109" t="n">
        <v>1</v>
      </c>
      <c r="H164" s="110" t="n">
        <v>4999</v>
      </c>
      <c r="I164" s="110" t="n">
        <v>4810</v>
      </c>
      <c r="J164" s="110" t="n">
        <v>5089</v>
      </c>
      <c r="K164" s="108" t="inlineStr">
        <is>
          <t>Won</t>
        </is>
      </c>
      <c r="L164" s="138" t="n">
        <v>48</v>
      </c>
      <c r="M164" s="108" t="inlineStr">
        <is>
          <t>Gamma LLC</t>
        </is>
      </c>
      <c r="N164" s="108" t="inlineStr">
        <is>
          <t>Small (&lt;$10K)</t>
        </is>
      </c>
      <c r="O164" s="108" t="inlineStr">
        <is>
          <t>LinkedIn</t>
        </is>
      </c>
      <c r="P164" s="110">
        <f>H164*0.08</f>
        <v/>
      </c>
      <c r="Q164" s="137" t="n">
        <v>0.08</v>
      </c>
      <c r="R164" s="108" t="inlineStr">
        <is>
          <t>Q3 deal - LinkedIn channel</t>
        </is>
      </c>
    </row>
    <row r="165" ht="15" customHeight="1" s="77">
      <c r="A165" s="117" t="inlineStr">
        <is>
          <t>2025-10-05</t>
        </is>
      </c>
      <c r="B165" s="117" t="inlineStr">
        <is>
          <t>October</t>
        </is>
      </c>
      <c r="C165" s="117" t="inlineStr">
        <is>
          <t>James Williams</t>
        </is>
      </c>
      <c r="D165" s="117" t="inlineStr">
        <is>
          <t>South</t>
        </is>
      </c>
      <c r="E165" s="117" t="inlineStr">
        <is>
          <t>Product D</t>
        </is>
      </c>
      <c r="F165" s="117" t="inlineStr">
        <is>
          <t>Startup</t>
        </is>
      </c>
      <c r="G165" s="118" t="n">
        <v>13</v>
      </c>
      <c r="H165" s="119" t="n">
        <v>194987</v>
      </c>
      <c r="I165" s="119" t="n">
        <v>233172</v>
      </c>
      <c r="J165" s="119" t="n">
        <v>178311</v>
      </c>
      <c r="K165" s="117" t="inlineStr">
        <is>
          <t>Won</t>
        </is>
      </c>
      <c r="L165" s="140" t="n">
        <v>79</v>
      </c>
      <c r="M165" s="117" t="inlineStr">
        <is>
          <t>Delta Ltd</t>
        </is>
      </c>
      <c r="N165" s="117" t="inlineStr">
        <is>
          <t>Large ($50K-$200K)</t>
        </is>
      </c>
      <c r="O165" s="117" t="inlineStr">
        <is>
          <t>Trade Show</t>
        </is>
      </c>
      <c r="P165" s="119">
        <f>H165*0.08</f>
        <v/>
      </c>
      <c r="Q165" s="139" t="n">
        <v>0.09</v>
      </c>
      <c r="R165" s="117" t="inlineStr">
        <is>
          <t>Q4 deal - Trade Show channel</t>
        </is>
      </c>
    </row>
    <row r="166" ht="15" customHeight="1" s="77">
      <c r="A166" s="108" t="inlineStr">
        <is>
          <t>2025-08-27</t>
        </is>
      </c>
      <c r="B166" s="108" t="inlineStr">
        <is>
          <t>August</t>
        </is>
      </c>
      <c r="C166" s="108" t="inlineStr">
        <is>
          <t>Emily Davis</t>
        </is>
      </c>
      <c r="D166" s="108" t="inlineStr">
        <is>
          <t>Central</t>
        </is>
      </c>
      <c r="E166" s="108" t="inlineStr">
        <is>
          <t>Product E</t>
        </is>
      </c>
      <c r="F166" s="108" t="inlineStr">
        <is>
          <t>Government</t>
        </is>
      </c>
      <c r="G166" s="109" t="n">
        <v>46</v>
      </c>
      <c r="H166" s="110" t="n">
        <v>459954</v>
      </c>
      <c r="I166" s="110" t="n">
        <v>516358</v>
      </c>
      <c r="J166" s="110" t="n">
        <v>487356</v>
      </c>
      <c r="K166" s="108" t="inlineStr">
        <is>
          <t>Lost</t>
        </is>
      </c>
      <c r="L166" s="138" t="n">
        <v>86</v>
      </c>
      <c r="M166" s="108" t="inlineStr">
        <is>
          <t>Epsilon Co</t>
        </is>
      </c>
      <c r="N166" s="108" t="inlineStr">
        <is>
          <t>Enterprise (&gt;$200K)</t>
        </is>
      </c>
      <c r="O166" s="108" t="inlineStr">
        <is>
          <t>Website</t>
        </is>
      </c>
      <c r="P166" s="110">
        <f>H166*0.08</f>
        <v/>
      </c>
      <c r="Q166" s="137" t="n">
        <v>0.06</v>
      </c>
      <c r="R166" s="108" t="inlineStr">
        <is>
          <t>Q1 deal - Website channel</t>
        </is>
      </c>
    </row>
    <row r="167" ht="15" customHeight="1" s="77">
      <c r="A167" s="117" t="inlineStr">
        <is>
          <t>2025-11-10</t>
        </is>
      </c>
      <c r="B167" s="117" t="inlineStr">
        <is>
          <t>November</t>
        </is>
      </c>
      <c r="C167" s="117" t="inlineStr">
        <is>
          <t>Carlos Ruiz</t>
        </is>
      </c>
      <c r="D167" s="117" t="inlineStr">
        <is>
          <t>International</t>
        </is>
      </c>
      <c r="E167" s="117" t="inlineStr">
        <is>
          <t>Product F</t>
        </is>
      </c>
      <c r="F167" s="117" t="inlineStr">
        <is>
          <t>Enterprise</t>
        </is>
      </c>
      <c r="G167" s="118" t="n">
        <v>28</v>
      </c>
      <c r="H167" s="119" t="n">
        <v>139972</v>
      </c>
      <c r="I167" s="119" t="n">
        <v>165697</v>
      </c>
      <c r="J167" s="119" t="n">
        <v>148048</v>
      </c>
      <c r="K167" s="117" t="inlineStr">
        <is>
          <t>In Progress</t>
        </is>
      </c>
      <c r="L167" s="140" t="n">
        <v>26</v>
      </c>
      <c r="M167" s="117" t="inlineStr">
        <is>
          <t>Zeta Corp</t>
        </is>
      </c>
      <c r="N167" s="117" t="inlineStr">
        <is>
          <t>Large ($50K-$200K)</t>
        </is>
      </c>
      <c r="O167" s="117" t="inlineStr">
        <is>
          <t>Partner</t>
        </is>
      </c>
      <c r="P167" s="119">
        <f>H167*0.08</f>
        <v/>
      </c>
      <c r="Q167" s="139" t="n">
        <v>0.1</v>
      </c>
      <c r="R167" s="117" t="inlineStr">
        <is>
          <t>Q2 deal - Partner channel</t>
        </is>
      </c>
    </row>
    <row r="168" ht="15" customHeight="1" s="77">
      <c r="A168" s="108" t="inlineStr">
        <is>
          <t>2025-06-04</t>
        </is>
      </c>
      <c r="B168" s="108" t="inlineStr">
        <is>
          <t>June</t>
        </is>
      </c>
      <c r="C168" s="108" t="inlineStr">
        <is>
          <t>Lisa Park</t>
        </is>
      </c>
      <c r="D168" s="108" t="inlineStr">
        <is>
          <t>North</t>
        </is>
      </c>
      <c r="E168" s="108" t="inlineStr">
        <is>
          <t>Product G</t>
        </is>
      </c>
      <c r="F168" s="108" t="inlineStr">
        <is>
          <t>SMB</t>
        </is>
      </c>
      <c r="G168" s="109" t="n">
        <v>13</v>
      </c>
      <c r="H168" s="110" t="n">
        <v>324987</v>
      </c>
      <c r="I168" s="110" t="n">
        <v>325775</v>
      </c>
      <c r="J168" s="110" t="n">
        <v>310697</v>
      </c>
      <c r="K168" s="108" t="inlineStr">
        <is>
          <t>In Progress</t>
        </is>
      </c>
      <c r="L168" s="138" t="n">
        <v>72</v>
      </c>
      <c r="M168" s="108" t="inlineStr">
        <is>
          <t>Eta Inc</t>
        </is>
      </c>
      <c r="N168" s="108" t="inlineStr">
        <is>
          <t>Enterprise (&gt;$200K)</t>
        </is>
      </c>
      <c r="O168" s="108" t="inlineStr">
        <is>
          <t>Email Campaign</t>
        </is>
      </c>
      <c r="P168" s="110">
        <f>H168*0.08</f>
        <v/>
      </c>
      <c r="Q168" s="137" t="n">
        <v>0.06</v>
      </c>
      <c r="R168" s="108" t="inlineStr">
        <is>
          <t>Q3 deal - Email Campaign channel</t>
        </is>
      </c>
    </row>
    <row r="169" ht="15" customHeight="1" s="77">
      <c r="A169" s="117" t="inlineStr">
        <is>
          <t>2025-07-28</t>
        </is>
      </c>
      <c r="B169" s="117" t="inlineStr">
        <is>
          <t>July</t>
        </is>
      </c>
      <c r="C169" s="117" t="inlineStr">
        <is>
          <t>Tom Brown</t>
        </is>
      </c>
      <c r="D169" s="117" t="inlineStr">
        <is>
          <t>West</t>
        </is>
      </c>
      <c r="E169" s="117" t="inlineStr">
        <is>
          <t>Product H</t>
        </is>
      </c>
      <c r="F169" s="117" t="inlineStr">
        <is>
          <t>Mid-Market</t>
        </is>
      </c>
      <c r="G169" s="118" t="n">
        <v>38</v>
      </c>
      <c r="H169" s="119" t="n">
        <v>1139962</v>
      </c>
      <c r="I169" s="119" t="n">
        <v>1340324</v>
      </c>
      <c r="J169" s="119" t="n">
        <v>985475</v>
      </c>
      <c r="K169" s="117" t="inlineStr">
        <is>
          <t>Won</t>
        </is>
      </c>
      <c r="L169" s="140" t="n">
        <v>21</v>
      </c>
      <c r="M169" s="117" t="inlineStr">
        <is>
          <t>Theta LLC</t>
        </is>
      </c>
      <c r="N169" s="117" t="inlineStr">
        <is>
          <t>Enterprise (&gt;$200K)</t>
        </is>
      </c>
      <c r="O169" s="117" t="inlineStr">
        <is>
          <t>Webinar</t>
        </is>
      </c>
      <c r="P169" s="119">
        <f>H169*0.08</f>
        <v/>
      </c>
      <c r="Q169" s="139" t="n">
        <v>0.06</v>
      </c>
      <c r="R169" s="117" t="inlineStr">
        <is>
          <t>Q4 deal - Webinar channel</t>
        </is>
      </c>
    </row>
    <row r="170" ht="15" customHeight="1" s="77">
      <c r="A170" s="108" t="inlineStr">
        <is>
          <t>2025-06-03</t>
        </is>
      </c>
      <c r="B170" s="108" t="inlineStr">
        <is>
          <t>June</t>
        </is>
      </c>
      <c r="C170" s="108" t="inlineStr">
        <is>
          <t>Anna Schmidt</t>
        </is>
      </c>
      <c r="D170" s="108" t="inlineStr">
        <is>
          <t>East</t>
        </is>
      </c>
      <c r="E170" s="108" t="inlineStr">
        <is>
          <t>Product I</t>
        </is>
      </c>
      <c r="F170" s="108" t="inlineStr">
        <is>
          <t>Startup</t>
        </is>
      </c>
      <c r="G170" s="109" t="n">
        <v>11</v>
      </c>
      <c r="H170" s="110" t="n">
        <v>274989</v>
      </c>
      <c r="I170" s="110" t="n">
        <v>317892</v>
      </c>
      <c r="J170" s="110" t="n">
        <v>243329</v>
      </c>
      <c r="K170" s="108" t="inlineStr">
        <is>
          <t>Won</t>
        </is>
      </c>
      <c r="L170" s="138" t="n">
        <v>50</v>
      </c>
      <c r="M170" s="108" t="inlineStr">
        <is>
          <t>Iota Ltd</t>
        </is>
      </c>
      <c r="N170" s="108" t="inlineStr">
        <is>
          <t>Enterprise (&gt;$200K)</t>
        </is>
      </c>
      <c r="O170" s="108" t="inlineStr">
        <is>
          <t>SEO</t>
        </is>
      </c>
      <c r="P170" s="110">
        <f>H170*0.08</f>
        <v/>
      </c>
      <c r="Q170" s="137" t="n">
        <v>0.06</v>
      </c>
      <c r="R170" s="108" t="inlineStr">
        <is>
          <t>Q1 deal - SEO channel</t>
        </is>
      </c>
    </row>
    <row r="171" ht="15" customHeight="1" s="77">
      <c r="A171" s="117" t="inlineStr">
        <is>
          <t>2025-06-03</t>
        </is>
      </c>
      <c r="B171" s="117" t="inlineStr">
        <is>
          <t>June</t>
        </is>
      </c>
      <c r="C171" s="117" t="inlineStr">
        <is>
          <t>David Kim</t>
        </is>
      </c>
      <c r="D171" s="117" t="inlineStr">
        <is>
          <t>South</t>
        </is>
      </c>
      <c r="E171" s="117" t="inlineStr">
        <is>
          <t>Product J</t>
        </is>
      </c>
      <c r="F171" s="117" t="inlineStr">
        <is>
          <t>Government</t>
        </is>
      </c>
      <c r="G171" s="118" t="n">
        <v>21</v>
      </c>
      <c r="H171" s="119" t="n">
        <v>104979</v>
      </c>
      <c r="I171" s="119" t="n">
        <v>111640</v>
      </c>
      <c r="J171" s="119" t="n">
        <v>99457</v>
      </c>
      <c r="K171" s="117" t="inlineStr">
        <is>
          <t>Won</t>
        </is>
      </c>
      <c r="L171" s="140" t="n">
        <v>118</v>
      </c>
      <c r="M171" s="117" t="inlineStr">
        <is>
          <t>Kappa Co</t>
        </is>
      </c>
      <c r="N171" s="117" t="inlineStr">
        <is>
          <t>Large ($50K-$200K)</t>
        </is>
      </c>
      <c r="O171" s="117" t="inlineStr">
        <is>
          <t>Direct</t>
        </is>
      </c>
      <c r="P171" s="119">
        <f>H171*0.08</f>
        <v/>
      </c>
      <c r="Q171" s="139" t="n">
        <v>0.12</v>
      </c>
      <c r="R171" s="117" t="inlineStr">
        <is>
          <t>Q2 deal - Direct channel</t>
        </is>
      </c>
    </row>
    <row r="172" ht="15" customHeight="1" s="77">
      <c r="A172" s="108" t="inlineStr">
        <is>
          <t>2025-09-06</t>
        </is>
      </c>
      <c r="B172" s="108" t="inlineStr">
        <is>
          <t>September</t>
        </is>
      </c>
      <c r="C172" s="108" t="inlineStr">
        <is>
          <t>Rachel Green</t>
        </is>
      </c>
      <c r="D172" s="108" t="inlineStr">
        <is>
          <t>Central</t>
        </is>
      </c>
      <c r="E172" s="108" t="inlineStr">
        <is>
          <t>Product A</t>
        </is>
      </c>
      <c r="F172" s="108" t="inlineStr">
        <is>
          <t>Enterprise</t>
        </is>
      </c>
      <c r="G172" s="109" t="n">
        <v>22</v>
      </c>
      <c r="H172" s="110" t="n">
        <v>549978</v>
      </c>
      <c r="I172" s="110" t="n">
        <v>634972</v>
      </c>
      <c r="J172" s="110" t="n">
        <v>603719</v>
      </c>
      <c r="K172" s="108" t="inlineStr">
        <is>
          <t>Won</t>
        </is>
      </c>
      <c r="L172" s="138" t="n">
        <v>65</v>
      </c>
      <c r="M172" s="108" t="inlineStr">
        <is>
          <t>Lambda Corp</t>
        </is>
      </c>
      <c r="N172" s="108" t="inlineStr">
        <is>
          <t>Enterprise (&gt;$200K)</t>
        </is>
      </c>
      <c r="O172" s="108" t="inlineStr">
        <is>
          <t>Referral</t>
        </is>
      </c>
      <c r="P172" s="110">
        <f>H172*0.08</f>
        <v/>
      </c>
      <c r="Q172" s="137" t="n">
        <v>0.01</v>
      </c>
      <c r="R172" s="108" t="inlineStr">
        <is>
          <t>Q3 deal - Referral channel</t>
        </is>
      </c>
    </row>
    <row r="173" ht="15" customHeight="1" s="77">
      <c r="A173" s="117" t="inlineStr">
        <is>
          <t>2025-11-02</t>
        </is>
      </c>
      <c r="B173" s="117" t="inlineStr">
        <is>
          <t>November</t>
        </is>
      </c>
      <c r="C173" s="117" t="inlineStr">
        <is>
          <t>Mark Thompson</t>
        </is>
      </c>
      <c r="D173" s="117" t="inlineStr">
        <is>
          <t>International</t>
        </is>
      </c>
      <c r="E173" s="117" t="inlineStr">
        <is>
          <t>Product B</t>
        </is>
      </c>
      <c r="F173" s="117" t="inlineStr">
        <is>
          <t>SMB</t>
        </is>
      </c>
      <c r="G173" s="118" t="n">
        <v>13</v>
      </c>
      <c r="H173" s="119" t="n">
        <v>649987</v>
      </c>
      <c r="I173" s="119" t="n">
        <v>672417</v>
      </c>
      <c r="J173" s="119" t="n">
        <v>567801</v>
      </c>
      <c r="K173" s="117" t="inlineStr">
        <is>
          <t>Lost</t>
        </is>
      </c>
      <c r="L173" s="140" t="n">
        <v>95</v>
      </c>
      <c r="M173" s="117" t="inlineStr">
        <is>
          <t>Mu Inc</t>
        </is>
      </c>
      <c r="N173" s="117" t="inlineStr">
        <is>
          <t>Enterprise (&gt;$200K)</t>
        </is>
      </c>
      <c r="O173" s="117" t="inlineStr">
        <is>
          <t>Cold Call</t>
        </is>
      </c>
      <c r="P173" s="119">
        <f>H173*0.08</f>
        <v/>
      </c>
      <c r="Q173" s="139" t="n">
        <v>0.07000000000000001</v>
      </c>
      <c r="R173" s="117" t="inlineStr">
        <is>
          <t>Q4 deal - Cold Call channel</t>
        </is>
      </c>
    </row>
    <row r="174" ht="15" customHeight="1" s="77">
      <c r="A174" s="108" t="inlineStr">
        <is>
          <t>2025-08-28</t>
        </is>
      </c>
      <c r="B174" s="108" t="inlineStr">
        <is>
          <t>August</t>
        </is>
      </c>
      <c r="C174" s="108" t="inlineStr">
        <is>
          <t>Susan Lee</t>
        </is>
      </c>
      <c r="D174" s="108" t="inlineStr">
        <is>
          <t>North</t>
        </is>
      </c>
      <c r="E174" s="108" t="inlineStr">
        <is>
          <t>Product C</t>
        </is>
      </c>
      <c r="F174" s="108" t="inlineStr">
        <is>
          <t>Mid-Market</t>
        </is>
      </c>
      <c r="G174" s="109" t="n">
        <v>47</v>
      </c>
      <c r="H174" s="110" t="n">
        <v>704953</v>
      </c>
      <c r="I174" s="110" t="n">
        <v>807564</v>
      </c>
      <c r="J174" s="110" t="n">
        <v>621462</v>
      </c>
      <c r="K174" s="108" t="inlineStr">
        <is>
          <t>In Progress</t>
        </is>
      </c>
      <c r="L174" s="138" t="n">
        <v>116</v>
      </c>
      <c r="M174" s="108" t="inlineStr">
        <is>
          <t>Nu LLC</t>
        </is>
      </c>
      <c r="N174" s="108" t="inlineStr">
        <is>
          <t>Enterprise (&gt;$200K)</t>
        </is>
      </c>
      <c r="O174" s="108" t="inlineStr">
        <is>
          <t>LinkedIn</t>
        </is>
      </c>
      <c r="P174" s="110">
        <f>H174*0.08</f>
        <v/>
      </c>
      <c r="Q174" s="137" t="n">
        <v>0.08</v>
      </c>
      <c r="R174" s="108" t="inlineStr">
        <is>
          <t>Q1 deal - LinkedIn channel</t>
        </is>
      </c>
    </row>
    <row r="175" ht="15" customHeight="1" s="77">
      <c r="A175" s="117" t="inlineStr">
        <is>
          <t>2025-12-12</t>
        </is>
      </c>
      <c r="B175" s="117" t="inlineStr">
        <is>
          <t>December</t>
        </is>
      </c>
      <c r="C175" s="117" t="inlineStr">
        <is>
          <t>Kevin Martin</t>
        </is>
      </c>
      <c r="D175" s="117" t="inlineStr">
        <is>
          <t>West</t>
        </is>
      </c>
      <c r="E175" s="117" t="inlineStr">
        <is>
          <t>Product D</t>
        </is>
      </c>
      <c r="F175" s="117" t="inlineStr">
        <is>
          <t>Startup</t>
        </is>
      </c>
      <c r="G175" s="118" t="n">
        <v>11</v>
      </c>
      <c r="H175" s="119" t="n">
        <v>54989</v>
      </c>
      <c r="I175" s="119" t="n">
        <v>51107</v>
      </c>
      <c r="J175" s="119" t="n">
        <v>60162</v>
      </c>
      <c r="K175" s="117" t="inlineStr">
        <is>
          <t>In Progress</t>
        </is>
      </c>
      <c r="L175" s="140" t="n">
        <v>95</v>
      </c>
      <c r="M175" s="117" t="inlineStr">
        <is>
          <t>Xi Ltd</t>
        </is>
      </c>
      <c r="N175" s="117" t="inlineStr">
        <is>
          <t>Large ($50K-$200K)</t>
        </is>
      </c>
      <c r="O175" s="117" t="inlineStr">
        <is>
          <t>Trade Show</t>
        </is>
      </c>
      <c r="P175" s="119">
        <f>H175*0.08</f>
        <v/>
      </c>
      <c r="Q175" s="139" t="n">
        <v>0.09</v>
      </c>
      <c r="R175" s="117" t="inlineStr">
        <is>
          <t>Q2 deal - Trade Show channel</t>
        </is>
      </c>
    </row>
    <row r="176" ht="15" customHeight="1" s="77">
      <c r="A176" s="108" t="inlineStr">
        <is>
          <t>2025-07-14</t>
        </is>
      </c>
      <c r="B176" s="108" t="inlineStr">
        <is>
          <t>July</t>
        </is>
      </c>
      <c r="C176" s="108" t="inlineStr">
        <is>
          <t>Nina Patel</t>
        </is>
      </c>
      <c r="D176" s="108" t="inlineStr">
        <is>
          <t>East</t>
        </is>
      </c>
      <c r="E176" s="108" t="inlineStr">
        <is>
          <t>Product E</t>
        </is>
      </c>
      <c r="F176" s="108" t="inlineStr">
        <is>
          <t>Government</t>
        </is>
      </c>
      <c r="G176" s="109" t="n">
        <v>34</v>
      </c>
      <c r="H176" s="110" t="n">
        <v>849966</v>
      </c>
      <c r="I176" s="110" t="n">
        <v>816687</v>
      </c>
      <c r="J176" s="110" t="n">
        <v>778558</v>
      </c>
      <c r="K176" s="108" t="inlineStr">
        <is>
          <t>Won</t>
        </is>
      </c>
      <c r="L176" s="138" t="n">
        <v>59</v>
      </c>
      <c r="M176" s="108" t="inlineStr">
        <is>
          <t>Pi Co</t>
        </is>
      </c>
      <c r="N176" s="108" t="inlineStr">
        <is>
          <t>Enterprise (&gt;$200K)</t>
        </is>
      </c>
      <c r="O176" s="108" t="inlineStr">
        <is>
          <t>Website</t>
        </is>
      </c>
      <c r="P176" s="110">
        <f>H176*0.08</f>
        <v/>
      </c>
      <c r="Q176" s="137" t="n">
        <v>0.03</v>
      </c>
      <c r="R176" s="108" t="inlineStr">
        <is>
          <t>Q3 deal - Website channel</t>
        </is>
      </c>
    </row>
    <row r="177" ht="15" customHeight="1" s="77">
      <c r="A177" s="117" t="inlineStr">
        <is>
          <t>2025-07-30</t>
        </is>
      </c>
      <c r="B177" s="117" t="inlineStr">
        <is>
          <t>July</t>
        </is>
      </c>
      <c r="C177" s="117" t="inlineStr">
        <is>
          <t>Chris Wilson</t>
        </is>
      </c>
      <c r="D177" s="117" t="inlineStr">
        <is>
          <t>South</t>
        </is>
      </c>
      <c r="E177" s="117" t="inlineStr">
        <is>
          <t>Product F</t>
        </is>
      </c>
      <c r="F177" s="117" t="inlineStr">
        <is>
          <t>Enterprise</t>
        </is>
      </c>
      <c r="G177" s="118" t="n">
        <v>23</v>
      </c>
      <c r="H177" s="119" t="n">
        <v>229977</v>
      </c>
      <c r="I177" s="119" t="n">
        <v>244192</v>
      </c>
      <c r="J177" s="119" t="n">
        <v>224945</v>
      </c>
      <c r="K177" s="117" t="inlineStr">
        <is>
          <t>Won</t>
        </is>
      </c>
      <c r="L177" s="140" t="n">
        <v>35</v>
      </c>
      <c r="M177" s="117" t="inlineStr">
        <is>
          <t>Rho Corp</t>
        </is>
      </c>
      <c r="N177" s="117" t="inlineStr">
        <is>
          <t>Enterprise (&gt;$200K)</t>
        </is>
      </c>
      <c r="O177" s="117" t="inlineStr">
        <is>
          <t>Partner</t>
        </is>
      </c>
      <c r="P177" s="119">
        <f>H177*0.08</f>
        <v/>
      </c>
      <c r="Q177" s="139" t="n">
        <v>0.11</v>
      </c>
      <c r="R177" s="117" t="inlineStr">
        <is>
          <t>Q4 deal - Partner channel</t>
        </is>
      </c>
    </row>
    <row r="178" ht="15" customHeight="1" s="77">
      <c r="A178" s="108" t="inlineStr">
        <is>
          <t>2025-01-02</t>
        </is>
      </c>
      <c r="B178" s="108" t="inlineStr">
        <is>
          <t>January</t>
        </is>
      </c>
      <c r="C178" s="108" t="inlineStr">
        <is>
          <t>Amanda Foster</t>
        </is>
      </c>
      <c r="D178" s="108" t="inlineStr">
        <is>
          <t>Central</t>
        </is>
      </c>
      <c r="E178" s="108" t="inlineStr">
        <is>
          <t>Product G</t>
        </is>
      </c>
      <c r="F178" s="108" t="inlineStr">
        <is>
          <t>SMB</t>
        </is>
      </c>
      <c r="G178" s="109" t="n">
        <v>29</v>
      </c>
      <c r="H178" s="110" t="n">
        <v>144971</v>
      </c>
      <c r="I178" s="110" t="n">
        <v>155534</v>
      </c>
      <c r="J178" s="110" t="n">
        <v>128502</v>
      </c>
      <c r="K178" s="108" t="inlineStr">
        <is>
          <t>Won</t>
        </is>
      </c>
      <c r="L178" s="138" t="n">
        <v>15</v>
      </c>
      <c r="M178" s="108" t="inlineStr">
        <is>
          <t>Sigma Inc</t>
        </is>
      </c>
      <c r="N178" s="108" t="inlineStr">
        <is>
          <t>Large ($50K-$200K)</t>
        </is>
      </c>
      <c r="O178" s="108" t="inlineStr">
        <is>
          <t>Email Campaign</t>
        </is>
      </c>
      <c r="P178" s="110">
        <f>H178*0.08</f>
        <v/>
      </c>
      <c r="Q178" s="137" t="n">
        <v>0</v>
      </c>
      <c r="R178" s="108" t="inlineStr">
        <is>
          <t>Q1 deal - Email Campaign channel</t>
        </is>
      </c>
    </row>
    <row r="179" ht="15" customHeight="1" s="77">
      <c r="A179" s="117" t="inlineStr">
        <is>
          <t>2025-11-08</t>
        </is>
      </c>
      <c r="B179" s="117" t="inlineStr">
        <is>
          <t>November</t>
        </is>
      </c>
      <c r="C179" s="117" t="inlineStr">
        <is>
          <t>Robert Taylor</t>
        </is>
      </c>
      <c r="D179" s="117" t="inlineStr">
        <is>
          <t>International</t>
        </is>
      </c>
      <c r="E179" s="117" t="inlineStr">
        <is>
          <t>Product H</t>
        </is>
      </c>
      <c r="F179" s="117" t="inlineStr">
        <is>
          <t>Mid-Market</t>
        </is>
      </c>
      <c r="G179" s="118" t="n">
        <v>11</v>
      </c>
      <c r="H179" s="119" t="n">
        <v>549989</v>
      </c>
      <c r="I179" s="119" t="n">
        <v>564218</v>
      </c>
      <c r="J179" s="119" t="n">
        <v>513665</v>
      </c>
      <c r="K179" s="117" t="inlineStr">
        <is>
          <t>Won</t>
        </is>
      </c>
      <c r="L179" s="140" t="n">
        <v>80</v>
      </c>
      <c r="M179" s="117" t="inlineStr">
        <is>
          <t>Tau LLC</t>
        </is>
      </c>
      <c r="N179" s="117" t="inlineStr">
        <is>
          <t>Enterprise (&gt;$200K)</t>
        </is>
      </c>
      <c r="O179" s="117" t="inlineStr">
        <is>
          <t>Webinar</t>
        </is>
      </c>
      <c r="P179" s="119">
        <f>H179*0.08</f>
        <v/>
      </c>
      <c r="Q179" s="139" t="n">
        <v>0.03</v>
      </c>
      <c r="R179" s="117" t="inlineStr">
        <is>
          <t>Q2 deal - Webinar channel</t>
        </is>
      </c>
    </row>
    <row r="180" ht="15" customHeight="1" s="77">
      <c r="A180" s="108" t="inlineStr">
        <is>
          <t>2025-05-11</t>
        </is>
      </c>
      <c r="B180" s="108" t="inlineStr">
        <is>
          <t>May</t>
        </is>
      </c>
      <c r="C180" s="108" t="inlineStr">
        <is>
          <t>Jennifer Moore</t>
        </is>
      </c>
      <c r="D180" s="108" t="inlineStr">
        <is>
          <t>North</t>
        </is>
      </c>
      <c r="E180" s="108" t="inlineStr">
        <is>
          <t>Product I</t>
        </is>
      </c>
      <c r="F180" s="108" t="inlineStr">
        <is>
          <t>Startup</t>
        </is>
      </c>
      <c r="G180" s="109" t="n">
        <v>36</v>
      </c>
      <c r="H180" s="110" t="n">
        <v>899964</v>
      </c>
      <c r="I180" s="110" t="n">
        <v>909644</v>
      </c>
      <c r="J180" s="110" t="n">
        <v>885764</v>
      </c>
      <c r="K180" s="108" t="inlineStr">
        <is>
          <t>Lost</t>
        </is>
      </c>
      <c r="L180" s="138" t="n">
        <v>27</v>
      </c>
      <c r="M180" s="108" t="inlineStr">
        <is>
          <t>Upsilon Ltd</t>
        </is>
      </c>
      <c r="N180" s="108" t="inlineStr">
        <is>
          <t>Enterprise (&gt;$200K)</t>
        </is>
      </c>
      <c r="O180" s="108" t="inlineStr">
        <is>
          <t>SEO</t>
        </is>
      </c>
      <c r="P180" s="110">
        <f>H180*0.08</f>
        <v/>
      </c>
      <c r="Q180" s="137" t="n">
        <v>0.06</v>
      </c>
      <c r="R180" s="108" t="inlineStr">
        <is>
          <t>Q3 deal - SEO channel</t>
        </is>
      </c>
    </row>
    <row r="181" ht="15" customHeight="1" s="77">
      <c r="A181" s="117" t="inlineStr">
        <is>
          <t>2025-01-31</t>
        </is>
      </c>
      <c r="B181" s="117" t="inlineStr">
        <is>
          <t>January</t>
        </is>
      </c>
      <c r="C181" s="117" t="inlineStr">
        <is>
          <t>Daniel Jackson</t>
        </is>
      </c>
      <c r="D181" s="117" t="inlineStr">
        <is>
          <t>West</t>
        </is>
      </c>
      <c r="E181" s="117" t="inlineStr">
        <is>
          <t>Product J</t>
        </is>
      </c>
      <c r="F181" s="117" t="inlineStr">
        <is>
          <t>Government</t>
        </is>
      </c>
      <c r="G181" s="118" t="n">
        <v>14</v>
      </c>
      <c r="H181" s="119" t="n">
        <v>111986</v>
      </c>
      <c r="I181" s="119" t="n">
        <v>100811</v>
      </c>
      <c r="J181" s="119" t="n">
        <v>96518</v>
      </c>
      <c r="K181" s="117" t="inlineStr">
        <is>
          <t>In Progress</t>
        </is>
      </c>
      <c r="L181" s="140" t="n">
        <v>47</v>
      </c>
      <c r="M181" s="117" t="inlineStr">
        <is>
          <t>Phi Co</t>
        </is>
      </c>
      <c r="N181" s="117" t="inlineStr">
        <is>
          <t>Large ($50K-$200K)</t>
        </is>
      </c>
      <c r="O181" s="117" t="inlineStr">
        <is>
          <t>Direct</t>
        </is>
      </c>
      <c r="P181" s="119">
        <f>H181*0.08</f>
        <v/>
      </c>
      <c r="Q181" s="139" t="n">
        <v>0.13</v>
      </c>
      <c r="R181" s="117" t="inlineStr">
        <is>
          <t>Q4 deal - Direct channel</t>
        </is>
      </c>
    </row>
    <row r="182" ht="15" customHeight="1" s="77">
      <c r="A182" s="108" t="inlineStr">
        <is>
          <t>2025-06-29</t>
        </is>
      </c>
      <c r="B182" s="108" t="inlineStr">
        <is>
          <t>June</t>
        </is>
      </c>
      <c r="C182" s="108" t="inlineStr">
        <is>
          <t>Sarah Johnson</t>
        </is>
      </c>
      <c r="D182" s="108" t="inlineStr">
        <is>
          <t>North</t>
        </is>
      </c>
      <c r="E182" s="108" t="inlineStr">
        <is>
          <t>Product A</t>
        </is>
      </c>
      <c r="F182" s="108" t="inlineStr">
        <is>
          <t>Enterprise</t>
        </is>
      </c>
      <c r="G182" s="109" t="n">
        <v>30</v>
      </c>
      <c r="H182" s="110" t="n">
        <v>599970</v>
      </c>
      <c r="I182" s="110" t="n">
        <v>646140</v>
      </c>
      <c r="J182" s="110" t="n">
        <v>512541</v>
      </c>
      <c r="K182" s="108" t="inlineStr">
        <is>
          <t>In Progress</t>
        </is>
      </c>
      <c r="L182" s="138" t="n">
        <v>91</v>
      </c>
      <c r="M182" s="108" t="inlineStr">
        <is>
          <t>Acme Corp</t>
        </is>
      </c>
      <c r="N182" s="108" t="inlineStr">
        <is>
          <t>Enterprise (&gt;$200K)</t>
        </is>
      </c>
      <c r="O182" s="108" t="inlineStr">
        <is>
          <t>Referral</t>
        </is>
      </c>
      <c r="P182" s="110">
        <f>H182*0.08</f>
        <v/>
      </c>
      <c r="Q182" s="137" t="n">
        <v>0.13</v>
      </c>
      <c r="R182" s="108" t="inlineStr">
        <is>
          <t>Q1 deal - Referral channel</t>
        </is>
      </c>
    </row>
    <row r="183" ht="15" customHeight="1" s="77">
      <c r="A183" s="117" t="inlineStr">
        <is>
          <t>2025-02-16</t>
        </is>
      </c>
      <c r="B183" s="117" t="inlineStr">
        <is>
          <t>February</t>
        </is>
      </c>
      <c r="C183" s="117" t="inlineStr">
        <is>
          <t>Mike Chen</t>
        </is>
      </c>
      <c r="D183" s="117" t="inlineStr">
        <is>
          <t>West</t>
        </is>
      </c>
      <c r="E183" s="117" t="inlineStr">
        <is>
          <t>Product B</t>
        </is>
      </c>
      <c r="F183" s="117" t="inlineStr">
        <is>
          <t>SMB</t>
        </is>
      </c>
      <c r="G183" s="118" t="n">
        <v>3</v>
      </c>
      <c r="H183" s="119" t="n">
        <v>14997</v>
      </c>
      <c r="I183" s="119" t="n">
        <v>16830</v>
      </c>
      <c r="J183" s="119" t="n">
        <v>16168</v>
      </c>
      <c r="K183" s="117" t="inlineStr">
        <is>
          <t>Won</t>
        </is>
      </c>
      <c r="L183" s="140" t="n">
        <v>117</v>
      </c>
      <c r="M183" s="117" t="inlineStr">
        <is>
          <t>Beta Inc</t>
        </is>
      </c>
      <c r="N183" s="117" t="inlineStr">
        <is>
          <t>Medium ($10K-$50K)</t>
        </is>
      </c>
      <c r="O183" s="117" t="inlineStr">
        <is>
          <t>Cold Call</t>
        </is>
      </c>
      <c r="P183" s="119">
        <f>H183*0.08</f>
        <v/>
      </c>
      <c r="Q183" s="139" t="n">
        <v>0.07000000000000001</v>
      </c>
      <c r="R183" s="117" t="inlineStr">
        <is>
          <t>Q2 deal - Cold Call channel</t>
        </is>
      </c>
    </row>
    <row r="184" ht="15" customHeight="1" s="77">
      <c r="A184" s="108" t="inlineStr">
        <is>
          <t>2025-03-22</t>
        </is>
      </c>
      <c r="B184" s="108" t="inlineStr">
        <is>
          <t>March</t>
        </is>
      </c>
      <c r="C184" s="108" t="inlineStr">
        <is>
          <t>Priya Sharma</t>
        </is>
      </c>
      <c r="D184" s="108" t="inlineStr">
        <is>
          <t>East</t>
        </is>
      </c>
      <c r="E184" s="108" t="inlineStr">
        <is>
          <t>Product C</t>
        </is>
      </c>
      <c r="F184" s="108" t="inlineStr">
        <is>
          <t>Mid-Market</t>
        </is>
      </c>
      <c r="G184" s="109" t="n">
        <v>21</v>
      </c>
      <c r="H184" s="110" t="n">
        <v>314979</v>
      </c>
      <c r="I184" s="110" t="n">
        <v>291783</v>
      </c>
      <c r="J184" s="110" t="n">
        <v>320593</v>
      </c>
      <c r="K184" s="108" t="inlineStr">
        <is>
          <t>Won</t>
        </is>
      </c>
      <c r="L184" s="138" t="n">
        <v>59</v>
      </c>
      <c r="M184" s="108" t="inlineStr">
        <is>
          <t>Gamma LLC</t>
        </is>
      </c>
      <c r="N184" s="108" t="inlineStr">
        <is>
          <t>Enterprise (&gt;$200K)</t>
        </is>
      </c>
      <c r="O184" s="108" t="inlineStr">
        <is>
          <t>LinkedIn</t>
        </is>
      </c>
      <c r="P184" s="110">
        <f>H184*0.08</f>
        <v/>
      </c>
      <c r="Q184" s="137" t="n">
        <v>0.06</v>
      </c>
      <c r="R184" s="108" t="inlineStr">
        <is>
          <t>Q3 deal - LinkedIn channel</t>
        </is>
      </c>
    </row>
    <row r="185" ht="15" customHeight="1" s="77">
      <c r="A185" s="117" t="inlineStr">
        <is>
          <t>2025-12-20</t>
        </is>
      </c>
      <c r="B185" s="117" t="inlineStr">
        <is>
          <t>December</t>
        </is>
      </c>
      <c r="C185" s="117" t="inlineStr">
        <is>
          <t>James Williams</t>
        </is>
      </c>
      <c r="D185" s="117" t="inlineStr">
        <is>
          <t>South</t>
        </is>
      </c>
      <c r="E185" s="117" t="inlineStr">
        <is>
          <t>Product D</t>
        </is>
      </c>
      <c r="F185" s="117" t="inlineStr">
        <is>
          <t>Startup</t>
        </is>
      </c>
      <c r="G185" s="118" t="n">
        <v>42</v>
      </c>
      <c r="H185" s="119" t="n">
        <v>209958</v>
      </c>
      <c r="I185" s="119" t="n">
        <v>215643</v>
      </c>
      <c r="J185" s="119" t="n">
        <v>216267</v>
      </c>
      <c r="K185" s="117" t="inlineStr">
        <is>
          <t>Won</t>
        </is>
      </c>
      <c r="L185" s="140" t="n">
        <v>77</v>
      </c>
      <c r="M185" s="117" t="inlineStr">
        <is>
          <t>Delta Ltd</t>
        </is>
      </c>
      <c r="N185" s="117" t="inlineStr">
        <is>
          <t>Enterprise (&gt;$200K)</t>
        </is>
      </c>
      <c r="O185" s="117" t="inlineStr">
        <is>
          <t>Trade Show</t>
        </is>
      </c>
      <c r="P185" s="119">
        <f>H185*0.08</f>
        <v/>
      </c>
      <c r="Q185" s="139" t="n">
        <v>0.1</v>
      </c>
      <c r="R185" s="117" t="inlineStr">
        <is>
          <t>Q4 deal - Trade Show channel</t>
        </is>
      </c>
    </row>
    <row r="186" ht="15" customHeight="1" s="77">
      <c r="A186" s="108" t="inlineStr">
        <is>
          <t>2025-09-03</t>
        </is>
      </c>
      <c r="B186" s="108" t="inlineStr">
        <is>
          <t>September</t>
        </is>
      </c>
      <c r="C186" s="108" t="inlineStr">
        <is>
          <t>Emily Davis</t>
        </is>
      </c>
      <c r="D186" s="108" t="inlineStr">
        <is>
          <t>Central</t>
        </is>
      </c>
      <c r="E186" s="108" t="inlineStr">
        <is>
          <t>Product E</t>
        </is>
      </c>
      <c r="F186" s="108" t="inlineStr">
        <is>
          <t>Government</t>
        </is>
      </c>
      <c r="G186" s="109" t="n">
        <v>39</v>
      </c>
      <c r="H186" s="110" t="n">
        <v>779961</v>
      </c>
      <c r="I186" s="110" t="n">
        <v>785808</v>
      </c>
      <c r="J186" s="110" t="n">
        <v>682639</v>
      </c>
      <c r="K186" s="108" t="inlineStr">
        <is>
          <t>Won</t>
        </is>
      </c>
      <c r="L186" s="138" t="n">
        <v>81</v>
      </c>
      <c r="M186" s="108" t="inlineStr">
        <is>
          <t>Epsilon Co</t>
        </is>
      </c>
      <c r="N186" s="108" t="inlineStr">
        <is>
          <t>Enterprise (&gt;$200K)</t>
        </is>
      </c>
      <c r="O186" s="108" t="inlineStr">
        <is>
          <t>Website</t>
        </is>
      </c>
      <c r="P186" s="110">
        <f>H186*0.08</f>
        <v/>
      </c>
      <c r="Q186" s="137" t="n">
        <v>0</v>
      </c>
      <c r="R186" s="108" t="inlineStr">
        <is>
          <t>Q1 deal - Website channel</t>
        </is>
      </c>
    </row>
    <row r="187" ht="15" customHeight="1" s="77">
      <c r="A187" s="117" t="inlineStr">
        <is>
          <t>2025-02-03</t>
        </is>
      </c>
      <c r="B187" s="117" t="inlineStr">
        <is>
          <t>February</t>
        </is>
      </c>
      <c r="C187" s="117" t="inlineStr">
        <is>
          <t>Carlos Ruiz</t>
        </is>
      </c>
      <c r="D187" s="117" t="inlineStr">
        <is>
          <t>International</t>
        </is>
      </c>
      <c r="E187" s="117" t="inlineStr">
        <is>
          <t>Product F</t>
        </is>
      </c>
      <c r="F187" s="117" t="inlineStr">
        <is>
          <t>Enterprise</t>
        </is>
      </c>
      <c r="G187" s="118" t="n">
        <v>41</v>
      </c>
      <c r="H187" s="119" t="n">
        <v>819959</v>
      </c>
      <c r="I187" s="119" t="n">
        <v>773382</v>
      </c>
      <c r="J187" s="119" t="n">
        <v>712056</v>
      </c>
      <c r="K187" s="117" t="inlineStr">
        <is>
          <t>Lost</t>
        </is>
      </c>
      <c r="L187" s="140" t="n">
        <v>68</v>
      </c>
      <c r="M187" s="117" t="inlineStr">
        <is>
          <t>Zeta Corp</t>
        </is>
      </c>
      <c r="N187" s="117" t="inlineStr">
        <is>
          <t>Enterprise (&gt;$200K)</t>
        </is>
      </c>
      <c r="O187" s="117" t="inlineStr">
        <is>
          <t>Partner</t>
        </is>
      </c>
      <c r="P187" s="119">
        <f>H187*0.08</f>
        <v/>
      </c>
      <c r="Q187" s="139" t="n">
        <v>0.11</v>
      </c>
      <c r="R187" s="117" t="inlineStr">
        <is>
          <t>Q2 deal - Partner channel</t>
        </is>
      </c>
    </row>
    <row r="188" ht="15" customHeight="1" s="77">
      <c r="A188" s="108" t="inlineStr">
        <is>
          <t>2025-11-17</t>
        </is>
      </c>
      <c r="B188" s="108" t="inlineStr">
        <is>
          <t>November</t>
        </is>
      </c>
      <c r="C188" s="108" t="inlineStr">
        <is>
          <t>Lisa Park</t>
        </is>
      </c>
      <c r="D188" s="108" t="inlineStr">
        <is>
          <t>North</t>
        </is>
      </c>
      <c r="E188" s="108" t="inlineStr">
        <is>
          <t>Product G</t>
        </is>
      </c>
      <c r="F188" s="108" t="inlineStr">
        <is>
          <t>SMB</t>
        </is>
      </c>
      <c r="G188" s="109" t="n">
        <v>12</v>
      </c>
      <c r="H188" s="110" t="n">
        <v>239988</v>
      </c>
      <c r="I188" s="110" t="n">
        <v>245279</v>
      </c>
      <c r="J188" s="110" t="n">
        <v>208533</v>
      </c>
      <c r="K188" s="108" t="inlineStr">
        <is>
          <t>In Progress</t>
        </is>
      </c>
      <c r="L188" s="138" t="n">
        <v>11</v>
      </c>
      <c r="M188" s="108" t="inlineStr">
        <is>
          <t>Eta Inc</t>
        </is>
      </c>
      <c r="N188" s="108" t="inlineStr">
        <is>
          <t>Enterprise (&gt;$200K)</t>
        </is>
      </c>
      <c r="O188" s="108" t="inlineStr">
        <is>
          <t>Email Campaign</t>
        </is>
      </c>
      <c r="P188" s="110">
        <f>H188*0.08</f>
        <v/>
      </c>
      <c r="Q188" s="137" t="n">
        <v>0.04</v>
      </c>
      <c r="R188" s="108" t="inlineStr">
        <is>
          <t>Q3 deal - Email Campaign channel</t>
        </is>
      </c>
    </row>
    <row r="189" ht="15" customHeight="1" s="77">
      <c r="A189" s="117" t="inlineStr">
        <is>
          <t>2025-01-12</t>
        </is>
      </c>
      <c r="B189" s="117" t="inlineStr">
        <is>
          <t>January</t>
        </is>
      </c>
      <c r="C189" s="117" t="inlineStr">
        <is>
          <t>Tom Brown</t>
        </is>
      </c>
      <c r="D189" s="117" t="inlineStr">
        <is>
          <t>West</t>
        </is>
      </c>
      <c r="E189" s="117" t="inlineStr">
        <is>
          <t>Product H</t>
        </is>
      </c>
      <c r="F189" s="117" t="inlineStr">
        <is>
          <t>Mid-Market</t>
        </is>
      </c>
      <c r="G189" s="118" t="n">
        <v>24</v>
      </c>
      <c r="H189" s="119" t="n">
        <v>239976</v>
      </c>
      <c r="I189" s="119" t="n">
        <v>243723</v>
      </c>
      <c r="J189" s="119" t="n">
        <v>221236</v>
      </c>
      <c r="K189" s="117" t="inlineStr">
        <is>
          <t>In Progress</t>
        </is>
      </c>
      <c r="L189" s="140" t="n">
        <v>49</v>
      </c>
      <c r="M189" s="117" t="inlineStr">
        <is>
          <t>Theta LLC</t>
        </is>
      </c>
      <c r="N189" s="117" t="inlineStr">
        <is>
          <t>Enterprise (&gt;$200K)</t>
        </is>
      </c>
      <c r="O189" s="117" t="inlineStr">
        <is>
          <t>Webinar</t>
        </is>
      </c>
      <c r="P189" s="119">
        <f>H189*0.08</f>
        <v/>
      </c>
      <c r="Q189" s="139" t="n">
        <v>0.07000000000000001</v>
      </c>
      <c r="R189" s="117" t="inlineStr">
        <is>
          <t>Q4 deal - Webinar channel</t>
        </is>
      </c>
    </row>
    <row r="190" ht="15" customHeight="1" s="77">
      <c r="A190" s="108" t="inlineStr">
        <is>
          <t>2025-09-03</t>
        </is>
      </c>
      <c r="B190" s="108" t="inlineStr">
        <is>
          <t>September</t>
        </is>
      </c>
      <c r="C190" s="108" t="inlineStr">
        <is>
          <t>Anna Schmidt</t>
        </is>
      </c>
      <c r="D190" s="108" t="inlineStr">
        <is>
          <t>East</t>
        </is>
      </c>
      <c r="E190" s="108" t="inlineStr">
        <is>
          <t>Product I</t>
        </is>
      </c>
      <c r="F190" s="108" t="inlineStr">
        <is>
          <t>Startup</t>
        </is>
      </c>
      <c r="G190" s="109" t="n">
        <v>15</v>
      </c>
      <c r="H190" s="110" t="n">
        <v>224985</v>
      </c>
      <c r="I190" s="110" t="n">
        <v>256473</v>
      </c>
      <c r="J190" s="110" t="n">
        <v>208014</v>
      </c>
      <c r="K190" s="108" t="inlineStr">
        <is>
          <t>Won</t>
        </is>
      </c>
      <c r="L190" s="138" t="n">
        <v>66</v>
      </c>
      <c r="M190" s="108" t="inlineStr">
        <is>
          <t>Iota Ltd</t>
        </is>
      </c>
      <c r="N190" s="108" t="inlineStr">
        <is>
          <t>Enterprise (&gt;$200K)</t>
        </is>
      </c>
      <c r="O190" s="108" t="inlineStr">
        <is>
          <t>SEO</t>
        </is>
      </c>
      <c r="P190" s="110">
        <f>H190*0.08</f>
        <v/>
      </c>
      <c r="Q190" s="137" t="n">
        <v>0.03</v>
      </c>
      <c r="R190" s="108" t="inlineStr">
        <is>
          <t>Q1 deal - SEO channel</t>
        </is>
      </c>
    </row>
    <row r="191" ht="15" customHeight="1" s="77">
      <c r="A191" s="117" t="inlineStr">
        <is>
          <t>2025-04-04</t>
        </is>
      </c>
      <c r="B191" s="117" t="inlineStr">
        <is>
          <t>April</t>
        </is>
      </c>
      <c r="C191" s="117" t="inlineStr">
        <is>
          <t>David Kim</t>
        </is>
      </c>
      <c r="D191" s="117" t="inlineStr">
        <is>
          <t>South</t>
        </is>
      </c>
      <c r="E191" s="117" t="inlineStr">
        <is>
          <t>Product J</t>
        </is>
      </c>
      <c r="F191" s="117" t="inlineStr">
        <is>
          <t>Government</t>
        </is>
      </c>
      <c r="G191" s="118" t="n">
        <v>12</v>
      </c>
      <c r="H191" s="119" t="n">
        <v>239988</v>
      </c>
      <c r="I191" s="119" t="n">
        <v>276089</v>
      </c>
      <c r="J191" s="119" t="n">
        <v>224510</v>
      </c>
      <c r="K191" s="117" t="inlineStr">
        <is>
          <t>Won</t>
        </is>
      </c>
      <c r="L191" s="140" t="n">
        <v>82</v>
      </c>
      <c r="M191" s="117" t="inlineStr">
        <is>
          <t>Kappa Co</t>
        </is>
      </c>
      <c r="N191" s="117" t="inlineStr">
        <is>
          <t>Enterprise (&gt;$200K)</t>
        </is>
      </c>
      <c r="O191" s="117" t="inlineStr">
        <is>
          <t>Direct</t>
        </is>
      </c>
      <c r="P191" s="119">
        <f>H191*0.08</f>
        <v/>
      </c>
      <c r="Q191" s="139" t="n">
        <v>0.06</v>
      </c>
      <c r="R191" s="117" t="inlineStr">
        <is>
          <t>Q2 deal - Direct channel</t>
        </is>
      </c>
    </row>
    <row r="192" ht="15" customHeight="1" s="77">
      <c r="A192" s="108" t="inlineStr">
        <is>
          <t>2025-08-18</t>
        </is>
      </c>
      <c r="B192" s="108" t="inlineStr">
        <is>
          <t>August</t>
        </is>
      </c>
      <c r="C192" s="108" t="inlineStr">
        <is>
          <t>Rachel Green</t>
        </is>
      </c>
      <c r="D192" s="108" t="inlineStr">
        <is>
          <t>Central</t>
        </is>
      </c>
      <c r="E192" s="108" t="inlineStr">
        <is>
          <t>Product A</t>
        </is>
      </c>
      <c r="F192" s="108" t="inlineStr">
        <is>
          <t>Enterprise</t>
        </is>
      </c>
      <c r="G192" s="109" t="n">
        <v>46</v>
      </c>
      <c r="H192" s="110" t="n">
        <v>2299954</v>
      </c>
      <c r="I192" s="110" t="n">
        <v>2638352</v>
      </c>
      <c r="J192" s="110" t="n">
        <v>2115444</v>
      </c>
      <c r="K192" s="108" t="inlineStr">
        <is>
          <t>Won</t>
        </is>
      </c>
      <c r="L192" s="138" t="n">
        <v>8</v>
      </c>
      <c r="M192" s="108" t="inlineStr">
        <is>
          <t>Lambda Corp</t>
        </is>
      </c>
      <c r="N192" s="108" t="inlineStr">
        <is>
          <t>Enterprise (&gt;$200K)</t>
        </is>
      </c>
      <c r="O192" s="108" t="inlineStr">
        <is>
          <t>Referral</t>
        </is>
      </c>
      <c r="P192" s="110">
        <f>H192*0.08</f>
        <v/>
      </c>
      <c r="Q192" s="137" t="n">
        <v>0.13</v>
      </c>
      <c r="R192" s="108" t="inlineStr">
        <is>
          <t>Q3 deal - Referral channel</t>
        </is>
      </c>
    </row>
    <row r="193" ht="15" customHeight="1" s="77">
      <c r="A193" s="117" t="inlineStr">
        <is>
          <t>2025-08-04</t>
        </is>
      </c>
      <c r="B193" s="117" t="inlineStr">
        <is>
          <t>August</t>
        </is>
      </c>
      <c r="C193" s="117" t="inlineStr">
        <is>
          <t>Mark Thompson</t>
        </is>
      </c>
      <c r="D193" s="117" t="inlineStr">
        <is>
          <t>International</t>
        </is>
      </c>
      <c r="E193" s="117" t="inlineStr">
        <is>
          <t>Product B</t>
        </is>
      </c>
      <c r="F193" s="117" t="inlineStr">
        <is>
          <t>SMB</t>
        </is>
      </c>
      <c r="G193" s="118" t="n">
        <v>32</v>
      </c>
      <c r="H193" s="119" t="n">
        <v>1599968</v>
      </c>
      <c r="I193" s="119" t="n">
        <v>1854962</v>
      </c>
      <c r="J193" s="119" t="n">
        <v>1469168</v>
      </c>
      <c r="K193" s="117" t="inlineStr">
        <is>
          <t>Won</t>
        </is>
      </c>
      <c r="L193" s="140" t="n">
        <v>91</v>
      </c>
      <c r="M193" s="117" t="inlineStr">
        <is>
          <t>Mu Inc</t>
        </is>
      </c>
      <c r="N193" s="117" t="inlineStr">
        <is>
          <t>Enterprise (&gt;$200K)</t>
        </is>
      </c>
      <c r="O193" s="117" t="inlineStr">
        <is>
          <t>Cold Call</t>
        </is>
      </c>
      <c r="P193" s="119">
        <f>H193*0.08</f>
        <v/>
      </c>
      <c r="Q193" s="139" t="n">
        <v>0.07000000000000001</v>
      </c>
      <c r="R193" s="117" t="inlineStr">
        <is>
          <t>Q4 deal - Cold Call channel</t>
        </is>
      </c>
    </row>
    <row r="194" ht="15" customHeight="1" s="77">
      <c r="A194" s="108" t="inlineStr">
        <is>
          <t>2025-08-20</t>
        </is>
      </c>
      <c r="B194" s="108" t="inlineStr">
        <is>
          <t>August</t>
        </is>
      </c>
      <c r="C194" s="108" t="inlineStr">
        <is>
          <t>Susan Lee</t>
        </is>
      </c>
      <c r="D194" s="108" t="inlineStr">
        <is>
          <t>North</t>
        </is>
      </c>
      <c r="E194" s="108" t="inlineStr">
        <is>
          <t>Product C</t>
        </is>
      </c>
      <c r="F194" s="108" t="inlineStr">
        <is>
          <t>Mid-Market</t>
        </is>
      </c>
      <c r="G194" s="109" t="n">
        <v>28</v>
      </c>
      <c r="H194" s="110" t="n">
        <v>559972</v>
      </c>
      <c r="I194" s="110" t="n">
        <v>633401</v>
      </c>
      <c r="J194" s="110" t="n">
        <v>526068</v>
      </c>
      <c r="K194" s="108" t="inlineStr">
        <is>
          <t>Lost</t>
        </is>
      </c>
      <c r="L194" s="138" t="n">
        <v>101</v>
      </c>
      <c r="M194" s="108" t="inlineStr">
        <is>
          <t>Nu LLC</t>
        </is>
      </c>
      <c r="N194" s="108" t="inlineStr">
        <is>
          <t>Enterprise (&gt;$200K)</t>
        </is>
      </c>
      <c r="O194" s="108" t="inlineStr">
        <is>
          <t>LinkedIn</t>
        </is>
      </c>
      <c r="P194" s="110">
        <f>H194*0.08</f>
        <v/>
      </c>
      <c r="Q194" s="137" t="n">
        <v>0.07000000000000001</v>
      </c>
      <c r="R194" s="108" t="inlineStr">
        <is>
          <t>Q1 deal - LinkedIn channel</t>
        </is>
      </c>
    </row>
    <row r="195" ht="15" customHeight="1" s="77">
      <c r="A195" s="117" t="inlineStr">
        <is>
          <t>2025-09-16</t>
        </is>
      </c>
      <c r="B195" s="117" t="inlineStr">
        <is>
          <t>September</t>
        </is>
      </c>
      <c r="C195" s="117" t="inlineStr">
        <is>
          <t>Kevin Martin</t>
        </is>
      </c>
      <c r="D195" s="117" t="inlineStr">
        <is>
          <t>West</t>
        </is>
      </c>
      <c r="E195" s="117" t="inlineStr">
        <is>
          <t>Product D</t>
        </is>
      </c>
      <c r="F195" s="117" t="inlineStr">
        <is>
          <t>Startup</t>
        </is>
      </c>
      <c r="G195" s="118" t="n">
        <v>3</v>
      </c>
      <c r="H195" s="119" t="n">
        <v>89997</v>
      </c>
      <c r="I195" s="119" t="n">
        <v>106945</v>
      </c>
      <c r="J195" s="119" t="n">
        <v>84268</v>
      </c>
      <c r="K195" s="117" t="inlineStr">
        <is>
          <t>In Progress</t>
        </is>
      </c>
      <c r="L195" s="140" t="n">
        <v>35</v>
      </c>
      <c r="M195" s="117" t="inlineStr">
        <is>
          <t>Xi Ltd</t>
        </is>
      </c>
      <c r="N195" s="117" t="inlineStr">
        <is>
          <t>Large ($50K-$200K)</t>
        </is>
      </c>
      <c r="O195" s="117" t="inlineStr">
        <is>
          <t>Trade Show</t>
        </is>
      </c>
      <c r="P195" s="119">
        <f>H195*0.08</f>
        <v/>
      </c>
      <c r="Q195" s="139" t="n">
        <v>0.14</v>
      </c>
      <c r="R195" s="117" t="inlineStr">
        <is>
          <t>Q2 deal - Trade Show channel</t>
        </is>
      </c>
    </row>
    <row r="196" ht="15" customHeight="1" s="77">
      <c r="A196" s="108" t="inlineStr">
        <is>
          <t>2025-03-16</t>
        </is>
      </c>
      <c r="B196" s="108" t="inlineStr">
        <is>
          <t>March</t>
        </is>
      </c>
      <c r="C196" s="108" t="inlineStr">
        <is>
          <t>Nina Patel</t>
        </is>
      </c>
      <c r="D196" s="108" t="inlineStr">
        <is>
          <t>East</t>
        </is>
      </c>
      <c r="E196" s="108" t="inlineStr">
        <is>
          <t>Product E</t>
        </is>
      </c>
      <c r="F196" s="108" t="inlineStr">
        <is>
          <t>Government</t>
        </is>
      </c>
      <c r="G196" s="109" t="n">
        <v>28</v>
      </c>
      <c r="H196" s="110" t="n">
        <v>1399972</v>
      </c>
      <c r="I196" s="110" t="n">
        <v>1515320</v>
      </c>
      <c r="J196" s="110" t="n">
        <v>1293836</v>
      </c>
      <c r="K196" s="108" t="inlineStr">
        <is>
          <t>In Progress</t>
        </is>
      </c>
      <c r="L196" s="138" t="n">
        <v>93</v>
      </c>
      <c r="M196" s="108" t="inlineStr">
        <is>
          <t>Pi Co</t>
        </is>
      </c>
      <c r="N196" s="108" t="inlineStr">
        <is>
          <t>Enterprise (&gt;$200K)</t>
        </is>
      </c>
      <c r="O196" s="108" t="inlineStr">
        <is>
          <t>Website</t>
        </is>
      </c>
      <c r="P196" s="110">
        <f>H196*0.08</f>
        <v/>
      </c>
      <c r="Q196" s="137" t="n">
        <v>0.13</v>
      </c>
      <c r="R196" s="108" t="inlineStr">
        <is>
          <t>Q3 deal - Website channel</t>
        </is>
      </c>
    </row>
    <row r="197" ht="15" customHeight="1" s="77">
      <c r="A197" s="117" t="inlineStr">
        <is>
          <t>2025-11-05</t>
        </is>
      </c>
      <c r="B197" s="117" t="inlineStr">
        <is>
          <t>November</t>
        </is>
      </c>
      <c r="C197" s="117" t="inlineStr">
        <is>
          <t>Chris Wilson</t>
        </is>
      </c>
      <c r="D197" s="117" t="inlineStr">
        <is>
          <t>South</t>
        </is>
      </c>
      <c r="E197" s="117" t="inlineStr">
        <is>
          <t>Product F</t>
        </is>
      </c>
      <c r="F197" s="117" t="inlineStr">
        <is>
          <t>Enterprise</t>
        </is>
      </c>
      <c r="G197" s="118" t="n">
        <v>23</v>
      </c>
      <c r="H197" s="119" t="n">
        <v>689977</v>
      </c>
      <c r="I197" s="119" t="n">
        <v>653281</v>
      </c>
      <c r="J197" s="119" t="n">
        <v>592562</v>
      </c>
      <c r="K197" s="117" t="inlineStr">
        <is>
          <t>Won</t>
        </is>
      </c>
      <c r="L197" s="140" t="n">
        <v>8</v>
      </c>
      <c r="M197" s="117" t="inlineStr">
        <is>
          <t>Rho Corp</t>
        </is>
      </c>
      <c r="N197" s="117" t="inlineStr">
        <is>
          <t>Enterprise (&gt;$200K)</t>
        </is>
      </c>
      <c r="O197" s="117" t="inlineStr">
        <is>
          <t>Partner</t>
        </is>
      </c>
      <c r="P197" s="119">
        <f>H197*0.08</f>
        <v/>
      </c>
      <c r="Q197" s="139" t="n">
        <v>0.02</v>
      </c>
      <c r="R197" s="117" t="inlineStr">
        <is>
          <t>Q4 deal - Partner channel</t>
        </is>
      </c>
    </row>
    <row r="198" ht="15" customHeight="1" s="77">
      <c r="A198" s="108" t="inlineStr">
        <is>
          <t>2025-03-18</t>
        </is>
      </c>
      <c r="B198" s="108" t="inlineStr">
        <is>
          <t>March</t>
        </is>
      </c>
      <c r="C198" s="108" t="inlineStr">
        <is>
          <t>Amanda Foster</t>
        </is>
      </c>
      <c r="D198" s="108" t="inlineStr">
        <is>
          <t>Central</t>
        </is>
      </c>
      <c r="E198" s="108" t="inlineStr">
        <is>
          <t>Product G</t>
        </is>
      </c>
      <c r="F198" s="108" t="inlineStr">
        <is>
          <t>SMB</t>
        </is>
      </c>
      <c r="G198" s="109" t="n">
        <v>12</v>
      </c>
      <c r="H198" s="110" t="n">
        <v>359988</v>
      </c>
      <c r="I198" s="110" t="n">
        <v>415535</v>
      </c>
      <c r="J198" s="110" t="n">
        <v>358690</v>
      </c>
      <c r="K198" s="108" t="inlineStr">
        <is>
          <t>Won</t>
        </is>
      </c>
      <c r="L198" s="138" t="n">
        <v>96</v>
      </c>
      <c r="M198" s="108" t="inlineStr">
        <is>
          <t>Sigma Inc</t>
        </is>
      </c>
      <c r="N198" s="108" t="inlineStr">
        <is>
          <t>Enterprise (&gt;$200K)</t>
        </is>
      </c>
      <c r="O198" s="108" t="inlineStr">
        <is>
          <t>Email Campaign</t>
        </is>
      </c>
      <c r="P198" s="110">
        <f>H198*0.08</f>
        <v/>
      </c>
      <c r="Q198" s="137" t="n">
        <v>0.08</v>
      </c>
      <c r="R198" s="108" t="inlineStr">
        <is>
          <t>Q1 deal - Email Campaign channel</t>
        </is>
      </c>
    </row>
    <row r="199" ht="15" customHeight="1" s="77">
      <c r="A199" s="117" t="inlineStr">
        <is>
          <t>2025-06-07</t>
        </is>
      </c>
      <c r="B199" s="117" t="inlineStr">
        <is>
          <t>June</t>
        </is>
      </c>
      <c r="C199" s="117" t="inlineStr">
        <is>
          <t>Robert Taylor</t>
        </is>
      </c>
      <c r="D199" s="117" t="inlineStr">
        <is>
          <t>International</t>
        </is>
      </c>
      <c r="E199" s="117" t="inlineStr">
        <is>
          <t>Product H</t>
        </is>
      </c>
      <c r="F199" s="117" t="inlineStr">
        <is>
          <t>Mid-Market</t>
        </is>
      </c>
      <c r="G199" s="118" t="n">
        <v>31</v>
      </c>
      <c r="H199" s="119" t="n">
        <v>774969</v>
      </c>
      <c r="I199" s="119" t="n">
        <v>929306</v>
      </c>
      <c r="J199" s="119" t="n">
        <v>828347</v>
      </c>
      <c r="K199" s="117" t="inlineStr">
        <is>
          <t>Won</t>
        </is>
      </c>
      <c r="L199" s="140" t="n">
        <v>35</v>
      </c>
      <c r="M199" s="117" t="inlineStr">
        <is>
          <t>Tau LLC</t>
        </is>
      </c>
      <c r="N199" s="117" t="inlineStr">
        <is>
          <t>Enterprise (&gt;$200K)</t>
        </is>
      </c>
      <c r="O199" s="117" t="inlineStr">
        <is>
          <t>Webinar</t>
        </is>
      </c>
      <c r="P199" s="119">
        <f>H199*0.08</f>
        <v/>
      </c>
      <c r="Q199" s="139" t="n">
        <v>0.03</v>
      </c>
      <c r="R199" s="117" t="inlineStr">
        <is>
          <t>Q2 deal - Webinar channel</t>
        </is>
      </c>
    </row>
    <row r="200" ht="15" customHeight="1" s="77">
      <c r="A200" s="108" t="inlineStr">
        <is>
          <t>2025-01-14</t>
        </is>
      </c>
      <c r="B200" s="108" t="inlineStr">
        <is>
          <t>January</t>
        </is>
      </c>
      <c r="C200" s="108" t="inlineStr">
        <is>
          <t>Jennifer Moore</t>
        </is>
      </c>
      <c r="D200" s="108" t="inlineStr">
        <is>
          <t>North</t>
        </is>
      </c>
      <c r="E200" s="108" t="inlineStr">
        <is>
          <t>Product I</t>
        </is>
      </c>
      <c r="F200" s="108" t="inlineStr">
        <is>
          <t>Startup</t>
        </is>
      </c>
      <c r="G200" s="109" t="n">
        <v>30</v>
      </c>
      <c r="H200" s="110" t="n">
        <v>1499970</v>
      </c>
      <c r="I200" s="110" t="n">
        <v>1362965</v>
      </c>
      <c r="J200" s="110" t="n">
        <v>1371474</v>
      </c>
      <c r="K200" s="108" t="inlineStr">
        <is>
          <t>Won</t>
        </is>
      </c>
      <c r="L200" s="138" t="n">
        <v>60</v>
      </c>
      <c r="M200" s="108" t="inlineStr">
        <is>
          <t>Upsilon Ltd</t>
        </is>
      </c>
      <c r="N200" s="108" t="inlineStr">
        <is>
          <t>Enterprise (&gt;$200K)</t>
        </is>
      </c>
      <c r="O200" s="108" t="inlineStr">
        <is>
          <t>SEO</t>
        </is>
      </c>
      <c r="P200" s="110">
        <f>H200*0.08</f>
        <v/>
      </c>
      <c r="Q200" s="137" t="n">
        <v>0.04</v>
      </c>
      <c r="R200" s="108" t="inlineStr">
        <is>
          <t>Q3 deal - SEO channel</t>
        </is>
      </c>
    </row>
    <row r="201" ht="15" customHeight="1" s="77">
      <c r="A201" s="117" t="inlineStr">
        <is>
          <t>2025-09-12</t>
        </is>
      </c>
      <c r="B201" s="117" t="inlineStr">
        <is>
          <t>September</t>
        </is>
      </c>
      <c r="C201" s="117" t="inlineStr">
        <is>
          <t>Daniel Jackson</t>
        </is>
      </c>
      <c r="D201" s="117" t="inlineStr">
        <is>
          <t>West</t>
        </is>
      </c>
      <c r="E201" s="117" t="inlineStr">
        <is>
          <t>Product J</t>
        </is>
      </c>
      <c r="F201" s="117" t="inlineStr">
        <is>
          <t>Government</t>
        </is>
      </c>
      <c r="G201" s="118" t="n">
        <v>50</v>
      </c>
      <c r="H201" s="119" t="n">
        <v>249950</v>
      </c>
      <c r="I201" s="119" t="n">
        <v>288919</v>
      </c>
      <c r="J201" s="119" t="n">
        <v>216284</v>
      </c>
      <c r="K201" s="117" t="inlineStr">
        <is>
          <t>Lost</t>
        </is>
      </c>
      <c r="L201" s="140" t="n">
        <v>17</v>
      </c>
      <c r="M201" s="117" t="inlineStr">
        <is>
          <t>Phi Co</t>
        </is>
      </c>
      <c r="N201" s="117" t="inlineStr">
        <is>
          <t>Enterprise (&gt;$200K)</t>
        </is>
      </c>
      <c r="O201" s="117" t="inlineStr">
        <is>
          <t>Direct</t>
        </is>
      </c>
      <c r="P201" s="119">
        <f>H201*0.08</f>
        <v/>
      </c>
      <c r="Q201" s="139" t="n">
        <v>0.03</v>
      </c>
      <c r="R201" s="117" t="inlineStr">
        <is>
          <t>Q4 deal - Direct channel</t>
        </is>
      </c>
    </row>
    <row r="202" ht="15" customHeight="1" s="77">
      <c r="A202" s="108" t="inlineStr">
        <is>
          <t>2025-02-28</t>
        </is>
      </c>
      <c r="B202" s="108" t="inlineStr">
        <is>
          <t>February</t>
        </is>
      </c>
      <c r="C202" s="108" t="inlineStr">
        <is>
          <t>Sarah Johnson</t>
        </is>
      </c>
      <c r="D202" s="108" t="inlineStr">
        <is>
          <t>North</t>
        </is>
      </c>
      <c r="E202" s="108" t="inlineStr">
        <is>
          <t>Product A</t>
        </is>
      </c>
      <c r="F202" s="108" t="inlineStr">
        <is>
          <t>Enterprise</t>
        </is>
      </c>
      <c r="G202" s="109" t="n">
        <v>2</v>
      </c>
      <c r="H202" s="110" t="n">
        <v>39998</v>
      </c>
      <c r="I202" s="110" t="n">
        <v>41868</v>
      </c>
      <c r="J202" s="110" t="n">
        <v>42155</v>
      </c>
      <c r="K202" s="108" t="inlineStr">
        <is>
          <t>In Progress</t>
        </is>
      </c>
      <c r="L202" s="138" t="n">
        <v>59</v>
      </c>
      <c r="M202" s="108" t="inlineStr">
        <is>
          <t>Acme Corp</t>
        </is>
      </c>
      <c r="N202" s="108" t="inlineStr">
        <is>
          <t>Medium ($10K-$50K)</t>
        </is>
      </c>
      <c r="O202" s="108" t="inlineStr">
        <is>
          <t>Referral</t>
        </is>
      </c>
      <c r="P202" s="110">
        <f>H202*0.08</f>
        <v/>
      </c>
      <c r="Q202" s="137" t="n">
        <v>0.14</v>
      </c>
      <c r="R202" s="108" t="inlineStr">
        <is>
          <t>Q1 deal - Referral channel</t>
        </is>
      </c>
    </row>
    <row r="203" ht="15" customHeight="1" s="77">
      <c r="A203" s="117" t="inlineStr">
        <is>
          <t>2025-07-08</t>
        </is>
      </c>
      <c r="B203" s="117" t="inlineStr">
        <is>
          <t>July</t>
        </is>
      </c>
      <c r="C203" s="117" t="inlineStr">
        <is>
          <t>Mike Chen</t>
        </is>
      </c>
      <c r="D203" s="117" t="inlineStr">
        <is>
          <t>West</t>
        </is>
      </c>
      <c r="E203" s="117" t="inlineStr">
        <is>
          <t>Product B</t>
        </is>
      </c>
      <c r="F203" s="117" t="inlineStr">
        <is>
          <t>SMB</t>
        </is>
      </c>
      <c r="G203" s="118" t="n">
        <v>16</v>
      </c>
      <c r="H203" s="119" t="n">
        <v>127984</v>
      </c>
      <c r="I203" s="119" t="n">
        <v>131384</v>
      </c>
      <c r="J203" s="119" t="n">
        <v>139618</v>
      </c>
      <c r="K203" s="117" t="inlineStr">
        <is>
          <t>In Progress</t>
        </is>
      </c>
      <c r="L203" s="140" t="n">
        <v>120</v>
      </c>
      <c r="M203" s="117" t="inlineStr">
        <is>
          <t>Beta Inc</t>
        </is>
      </c>
      <c r="N203" s="117" t="inlineStr">
        <is>
          <t>Large ($50K-$200K)</t>
        </is>
      </c>
      <c r="O203" s="117" t="inlineStr">
        <is>
          <t>Cold Call</t>
        </is>
      </c>
      <c r="P203" s="119">
        <f>H203*0.08</f>
        <v/>
      </c>
      <c r="Q203" s="139" t="n">
        <v>0.02</v>
      </c>
      <c r="R203" s="117" t="inlineStr">
        <is>
          <t>Q2 deal - Cold Call channel</t>
        </is>
      </c>
    </row>
    <row r="204" ht="15" customHeight="1" s="77">
      <c r="A204" s="108" t="inlineStr">
        <is>
          <t>2025-01-29</t>
        </is>
      </c>
      <c r="B204" s="108" t="inlineStr">
        <is>
          <t>January</t>
        </is>
      </c>
      <c r="C204" s="108" t="inlineStr">
        <is>
          <t>Priya Sharma</t>
        </is>
      </c>
      <c r="D204" s="108" t="inlineStr">
        <is>
          <t>East</t>
        </is>
      </c>
      <c r="E204" s="108" t="inlineStr">
        <is>
          <t>Product C</t>
        </is>
      </c>
      <c r="F204" s="108" t="inlineStr">
        <is>
          <t>Mid-Market</t>
        </is>
      </c>
      <c r="G204" s="109" t="n">
        <v>1</v>
      </c>
      <c r="H204" s="110" t="n">
        <v>4999</v>
      </c>
      <c r="I204" s="110" t="n">
        <v>5070</v>
      </c>
      <c r="J204" s="110" t="n">
        <v>5127</v>
      </c>
      <c r="K204" s="108" t="inlineStr">
        <is>
          <t>Won</t>
        </is>
      </c>
      <c r="L204" s="138" t="n">
        <v>90</v>
      </c>
      <c r="M204" s="108" t="inlineStr">
        <is>
          <t>Gamma LLC</t>
        </is>
      </c>
      <c r="N204" s="108" t="inlineStr">
        <is>
          <t>Small (&lt;$10K)</t>
        </is>
      </c>
      <c r="O204" s="108" t="inlineStr">
        <is>
          <t>LinkedIn</t>
        </is>
      </c>
      <c r="P204" s="110">
        <f>H204*0.08</f>
        <v/>
      </c>
      <c r="Q204" s="137" t="n">
        <v>0.06</v>
      </c>
      <c r="R204" s="108" t="inlineStr">
        <is>
          <t>Q3 deal - LinkedIn channel</t>
        </is>
      </c>
    </row>
    <row r="205" ht="15" customHeight="1" s="77">
      <c r="A205" s="117" t="inlineStr">
        <is>
          <t>2025-11-06</t>
        </is>
      </c>
      <c r="B205" s="117" t="inlineStr">
        <is>
          <t>November</t>
        </is>
      </c>
      <c r="C205" s="117" t="inlineStr">
        <is>
          <t>James Williams</t>
        </is>
      </c>
      <c r="D205" s="117" t="inlineStr">
        <is>
          <t>South</t>
        </is>
      </c>
      <c r="E205" s="117" t="inlineStr">
        <is>
          <t>Product D</t>
        </is>
      </c>
      <c r="F205" s="117" t="inlineStr">
        <is>
          <t>Startup</t>
        </is>
      </c>
      <c r="G205" s="118" t="n">
        <v>44</v>
      </c>
      <c r="H205" s="119" t="n">
        <v>1099956</v>
      </c>
      <c r="I205" s="119" t="n">
        <v>1294096</v>
      </c>
      <c r="J205" s="119" t="n">
        <v>1188177</v>
      </c>
      <c r="K205" s="117" t="inlineStr">
        <is>
          <t>Won</t>
        </is>
      </c>
      <c r="L205" s="140" t="n">
        <v>55</v>
      </c>
      <c r="M205" s="117" t="inlineStr">
        <is>
          <t>Delta Ltd</t>
        </is>
      </c>
      <c r="N205" s="117" t="inlineStr">
        <is>
          <t>Enterprise (&gt;$200K)</t>
        </is>
      </c>
      <c r="O205" s="117" t="inlineStr">
        <is>
          <t>Trade Show</t>
        </is>
      </c>
      <c r="P205" s="119">
        <f>H205*0.08</f>
        <v/>
      </c>
      <c r="Q205" s="139" t="n">
        <v>0.13</v>
      </c>
      <c r="R205" s="117" t="inlineStr">
        <is>
          <t>Q4 deal - Trade Show channel</t>
        </is>
      </c>
    </row>
    <row r="206" ht="15" customHeight="1" s="77">
      <c r="A206" s="108" t="inlineStr">
        <is>
          <t>2025-10-24</t>
        </is>
      </c>
      <c r="B206" s="108" t="inlineStr">
        <is>
          <t>October</t>
        </is>
      </c>
      <c r="C206" s="108" t="inlineStr">
        <is>
          <t>Emily Davis</t>
        </is>
      </c>
      <c r="D206" s="108" t="inlineStr">
        <is>
          <t>Central</t>
        </is>
      </c>
      <c r="E206" s="108" t="inlineStr">
        <is>
          <t>Product E</t>
        </is>
      </c>
      <c r="F206" s="108" t="inlineStr">
        <is>
          <t>Government</t>
        </is>
      </c>
      <c r="G206" s="109" t="n">
        <v>3</v>
      </c>
      <c r="H206" s="110" t="n">
        <v>14997</v>
      </c>
      <c r="I206" s="110" t="n">
        <v>15681</v>
      </c>
      <c r="J206" s="110" t="n">
        <v>15822</v>
      </c>
      <c r="K206" s="108" t="inlineStr">
        <is>
          <t>Won</t>
        </is>
      </c>
      <c r="L206" s="138" t="n">
        <v>109</v>
      </c>
      <c r="M206" s="108" t="inlineStr">
        <is>
          <t>Epsilon Co</t>
        </is>
      </c>
      <c r="N206" s="108" t="inlineStr">
        <is>
          <t>Medium ($10K-$50K)</t>
        </is>
      </c>
      <c r="O206" s="108" t="inlineStr">
        <is>
          <t>Website</t>
        </is>
      </c>
      <c r="P206" s="110">
        <f>H206*0.08</f>
        <v/>
      </c>
      <c r="Q206" s="137" t="n">
        <v>0.06</v>
      </c>
      <c r="R206" s="108" t="inlineStr">
        <is>
          <t>Q1 deal - Website channel</t>
        </is>
      </c>
    </row>
    <row r="207" ht="15" customHeight="1" s="77">
      <c r="A207" s="117" t="inlineStr">
        <is>
          <t>2025-10-18</t>
        </is>
      </c>
      <c r="B207" s="117" t="inlineStr">
        <is>
          <t>October</t>
        </is>
      </c>
      <c r="C207" s="117" t="inlineStr">
        <is>
          <t>Carlos Ruiz</t>
        </is>
      </c>
      <c r="D207" s="117" t="inlineStr">
        <is>
          <t>International</t>
        </is>
      </c>
      <c r="E207" s="117" t="inlineStr">
        <is>
          <t>Product F</t>
        </is>
      </c>
      <c r="F207" s="117" t="inlineStr">
        <is>
          <t>Enterprise</t>
        </is>
      </c>
      <c r="G207" s="118" t="n">
        <v>41</v>
      </c>
      <c r="H207" s="119" t="n">
        <v>819959</v>
      </c>
      <c r="I207" s="119" t="n">
        <v>837535</v>
      </c>
      <c r="J207" s="119" t="n">
        <v>797342</v>
      </c>
      <c r="K207" s="117" t="inlineStr">
        <is>
          <t>Won</t>
        </is>
      </c>
      <c r="L207" s="140" t="n">
        <v>71</v>
      </c>
      <c r="M207" s="117" t="inlineStr">
        <is>
          <t>Zeta Corp</t>
        </is>
      </c>
      <c r="N207" s="117" t="inlineStr">
        <is>
          <t>Enterprise (&gt;$200K)</t>
        </is>
      </c>
      <c r="O207" s="117" t="inlineStr">
        <is>
          <t>Partner</t>
        </is>
      </c>
      <c r="P207" s="119">
        <f>H207*0.08</f>
        <v/>
      </c>
      <c r="Q207" s="139" t="n">
        <v>0.06</v>
      </c>
      <c r="R207" s="117" t="inlineStr">
        <is>
          <t>Q2 deal - Partner channel</t>
        </is>
      </c>
    </row>
    <row r="208" ht="15" customHeight="1" s="77">
      <c r="A208" s="108" t="inlineStr">
        <is>
          <t>2025-02-04</t>
        </is>
      </c>
      <c r="B208" s="108" t="inlineStr">
        <is>
          <t>February</t>
        </is>
      </c>
      <c r="C208" s="108" t="inlineStr">
        <is>
          <t>Lisa Park</t>
        </is>
      </c>
      <c r="D208" s="108" t="inlineStr">
        <is>
          <t>North</t>
        </is>
      </c>
      <c r="E208" s="108" t="inlineStr">
        <is>
          <t>Product G</t>
        </is>
      </c>
      <c r="F208" s="108" t="inlineStr">
        <is>
          <t>SMB</t>
        </is>
      </c>
      <c r="G208" s="109" t="n">
        <v>20</v>
      </c>
      <c r="H208" s="110" t="n">
        <v>499980</v>
      </c>
      <c r="I208" s="110" t="n">
        <v>565630</v>
      </c>
      <c r="J208" s="110" t="n">
        <v>462891</v>
      </c>
      <c r="K208" s="108" t="inlineStr">
        <is>
          <t>Lost</t>
        </is>
      </c>
      <c r="L208" s="138" t="n">
        <v>65</v>
      </c>
      <c r="M208" s="108" t="inlineStr">
        <is>
          <t>Eta Inc</t>
        </is>
      </c>
      <c r="N208" s="108" t="inlineStr">
        <is>
          <t>Enterprise (&gt;$200K)</t>
        </is>
      </c>
      <c r="O208" s="108" t="inlineStr">
        <is>
          <t>Email Campaign</t>
        </is>
      </c>
      <c r="P208" s="110">
        <f>H208*0.08</f>
        <v/>
      </c>
      <c r="Q208" s="137" t="n">
        <v>0.11</v>
      </c>
      <c r="R208" s="108" t="inlineStr">
        <is>
          <t>Q3 deal - Email Campaign channel</t>
        </is>
      </c>
    </row>
    <row r="209" ht="15" customHeight="1" s="77">
      <c r="A209" s="117" t="inlineStr">
        <is>
          <t>2025-07-25</t>
        </is>
      </c>
      <c r="B209" s="117" t="inlineStr">
        <is>
          <t>July</t>
        </is>
      </c>
      <c r="C209" s="117" t="inlineStr">
        <is>
          <t>Tom Brown</t>
        </is>
      </c>
      <c r="D209" s="117" t="inlineStr">
        <is>
          <t>West</t>
        </is>
      </c>
      <c r="E209" s="117" t="inlineStr">
        <is>
          <t>Product H</t>
        </is>
      </c>
      <c r="F209" s="117" t="inlineStr">
        <is>
          <t>Mid-Market</t>
        </is>
      </c>
      <c r="G209" s="118" t="n">
        <v>5</v>
      </c>
      <c r="H209" s="119" t="n">
        <v>39995</v>
      </c>
      <c r="I209" s="119" t="n">
        <v>38833</v>
      </c>
      <c r="J209" s="119" t="n">
        <v>39274</v>
      </c>
      <c r="K209" s="117" t="inlineStr">
        <is>
          <t>In Progress</t>
        </is>
      </c>
      <c r="L209" s="140" t="n">
        <v>21</v>
      </c>
      <c r="M209" s="117" t="inlineStr">
        <is>
          <t>Theta LLC</t>
        </is>
      </c>
      <c r="N209" s="117" t="inlineStr">
        <is>
          <t>Medium ($10K-$50K)</t>
        </is>
      </c>
      <c r="O209" s="117" t="inlineStr">
        <is>
          <t>Webinar</t>
        </is>
      </c>
      <c r="P209" s="119">
        <f>H209*0.08</f>
        <v/>
      </c>
      <c r="Q209" s="139" t="n">
        <v>0.06</v>
      </c>
      <c r="R209" s="117" t="inlineStr">
        <is>
          <t>Q4 deal - Webinar channel</t>
        </is>
      </c>
    </row>
    <row r="210" ht="15" customHeight="1" s="77">
      <c r="A210" s="108" t="inlineStr">
        <is>
          <t>2025-07-11</t>
        </is>
      </c>
      <c r="B210" s="108" t="inlineStr">
        <is>
          <t>July</t>
        </is>
      </c>
      <c r="C210" s="108" t="inlineStr">
        <is>
          <t>Anna Schmidt</t>
        </is>
      </c>
      <c r="D210" s="108" t="inlineStr">
        <is>
          <t>East</t>
        </is>
      </c>
      <c r="E210" s="108" t="inlineStr">
        <is>
          <t>Product I</t>
        </is>
      </c>
      <c r="F210" s="108" t="inlineStr">
        <is>
          <t>Startup</t>
        </is>
      </c>
      <c r="G210" s="109" t="n">
        <v>1</v>
      </c>
      <c r="H210" s="110" t="n">
        <v>14999</v>
      </c>
      <c r="I210" s="110" t="n">
        <v>15500</v>
      </c>
      <c r="J210" s="110" t="n">
        <v>12882</v>
      </c>
      <c r="K210" s="108" t="inlineStr">
        <is>
          <t>In Progress</t>
        </is>
      </c>
      <c r="L210" s="138" t="n">
        <v>23</v>
      </c>
      <c r="M210" s="108" t="inlineStr">
        <is>
          <t>Iota Ltd</t>
        </is>
      </c>
      <c r="N210" s="108" t="inlineStr">
        <is>
          <t>Medium ($10K-$50K)</t>
        </is>
      </c>
      <c r="O210" s="108" t="inlineStr">
        <is>
          <t>SEO</t>
        </is>
      </c>
      <c r="P210" s="110">
        <f>H210*0.08</f>
        <v/>
      </c>
      <c r="Q210" s="137" t="n">
        <v>0.07000000000000001</v>
      </c>
      <c r="R210" s="108" t="inlineStr">
        <is>
          <t>Q1 deal - SEO channel</t>
        </is>
      </c>
    </row>
    <row r="211" ht="15" customHeight="1" s="77">
      <c r="A211" s="117" t="inlineStr">
        <is>
          <t>2025-06-15</t>
        </is>
      </c>
      <c r="B211" s="117" t="inlineStr">
        <is>
          <t>June</t>
        </is>
      </c>
      <c r="C211" s="117" t="inlineStr">
        <is>
          <t>David Kim</t>
        </is>
      </c>
      <c r="D211" s="117" t="inlineStr">
        <is>
          <t>South</t>
        </is>
      </c>
      <c r="E211" s="117" t="inlineStr">
        <is>
          <t>Product J</t>
        </is>
      </c>
      <c r="F211" s="117" t="inlineStr">
        <is>
          <t>Government</t>
        </is>
      </c>
      <c r="G211" s="118" t="n">
        <v>23</v>
      </c>
      <c r="H211" s="119" t="n">
        <v>114977</v>
      </c>
      <c r="I211" s="119" t="n">
        <v>131459</v>
      </c>
      <c r="J211" s="119" t="n">
        <v>113554</v>
      </c>
      <c r="K211" s="117" t="inlineStr">
        <is>
          <t>Won</t>
        </is>
      </c>
      <c r="L211" s="140" t="n">
        <v>110</v>
      </c>
      <c r="M211" s="117" t="inlineStr">
        <is>
          <t>Kappa Co</t>
        </is>
      </c>
      <c r="N211" s="117" t="inlineStr">
        <is>
          <t>Large ($50K-$200K)</t>
        </is>
      </c>
      <c r="O211" s="117" t="inlineStr">
        <is>
          <t>Direct</t>
        </is>
      </c>
      <c r="P211" s="119">
        <f>H211*0.08</f>
        <v/>
      </c>
      <c r="Q211" s="139" t="n">
        <v>0.03</v>
      </c>
      <c r="R211" s="117" t="inlineStr">
        <is>
          <t>Q2 deal - Direct channel</t>
        </is>
      </c>
    </row>
    <row r="212" ht="15" customHeight="1" s="77">
      <c r="A212" s="108" t="inlineStr">
        <is>
          <t>2025-01-23</t>
        </is>
      </c>
      <c r="B212" s="108" t="inlineStr">
        <is>
          <t>January</t>
        </is>
      </c>
      <c r="C212" s="108" t="inlineStr">
        <is>
          <t>Rachel Green</t>
        </is>
      </c>
      <c r="D212" s="108" t="inlineStr">
        <is>
          <t>Central</t>
        </is>
      </c>
      <c r="E212" s="108" t="inlineStr">
        <is>
          <t>Product A</t>
        </is>
      </c>
      <c r="F212" s="108" t="inlineStr">
        <is>
          <t>Enterprise</t>
        </is>
      </c>
      <c r="G212" s="109" t="n">
        <v>5</v>
      </c>
      <c r="H212" s="110" t="n">
        <v>149995</v>
      </c>
      <c r="I212" s="110" t="n">
        <v>162482</v>
      </c>
      <c r="J212" s="110" t="n">
        <v>160613</v>
      </c>
      <c r="K212" s="108" t="inlineStr">
        <is>
          <t>Won</t>
        </is>
      </c>
      <c r="L212" s="138" t="n">
        <v>56</v>
      </c>
      <c r="M212" s="108" t="inlineStr">
        <is>
          <t>Lambda Corp</t>
        </is>
      </c>
      <c r="N212" s="108" t="inlineStr">
        <is>
          <t>Large ($50K-$200K)</t>
        </is>
      </c>
      <c r="O212" s="108" t="inlineStr">
        <is>
          <t>Referral</t>
        </is>
      </c>
      <c r="P212" s="110">
        <f>H212*0.08</f>
        <v/>
      </c>
      <c r="Q212" s="137" t="n">
        <v>0.12</v>
      </c>
      <c r="R212" s="108" t="inlineStr">
        <is>
          <t>Q3 deal - Referral channel</t>
        </is>
      </c>
    </row>
    <row r="213" ht="15" customHeight="1" s="77">
      <c r="A213" s="117" t="inlineStr">
        <is>
          <t>2025-12-30</t>
        </is>
      </c>
      <c r="B213" s="117" t="inlineStr">
        <is>
          <t>December</t>
        </is>
      </c>
      <c r="C213" s="117" t="inlineStr">
        <is>
          <t>Mark Thompson</t>
        </is>
      </c>
      <c r="D213" s="117" t="inlineStr">
        <is>
          <t>International</t>
        </is>
      </c>
      <c r="E213" s="117" t="inlineStr">
        <is>
          <t>Product B</t>
        </is>
      </c>
      <c r="F213" s="117" t="inlineStr">
        <is>
          <t>SMB</t>
        </is>
      </c>
      <c r="G213" s="118" t="n">
        <v>14</v>
      </c>
      <c r="H213" s="119" t="n">
        <v>349986</v>
      </c>
      <c r="I213" s="119" t="n">
        <v>412532</v>
      </c>
      <c r="J213" s="119" t="n">
        <v>364660</v>
      </c>
      <c r="K213" s="117" t="inlineStr">
        <is>
          <t>Won</t>
        </is>
      </c>
      <c r="L213" s="140" t="n">
        <v>17</v>
      </c>
      <c r="M213" s="117" t="inlineStr">
        <is>
          <t>Mu Inc</t>
        </is>
      </c>
      <c r="N213" s="117" t="inlineStr">
        <is>
          <t>Enterprise (&gt;$200K)</t>
        </is>
      </c>
      <c r="O213" s="117" t="inlineStr">
        <is>
          <t>Cold Call</t>
        </is>
      </c>
      <c r="P213" s="119">
        <f>H213*0.08</f>
        <v/>
      </c>
      <c r="Q213" s="139" t="n">
        <v>0.11</v>
      </c>
      <c r="R213" s="117" t="inlineStr">
        <is>
          <t>Q4 deal - Cold Call channel</t>
        </is>
      </c>
    </row>
    <row r="214" ht="15" customHeight="1" s="77">
      <c r="A214" s="108" t="inlineStr">
        <is>
          <t>2025-06-05</t>
        </is>
      </c>
      <c r="B214" s="108" t="inlineStr">
        <is>
          <t>June</t>
        </is>
      </c>
      <c r="C214" s="108" t="inlineStr">
        <is>
          <t>Susan Lee</t>
        </is>
      </c>
      <c r="D214" s="108" t="inlineStr">
        <is>
          <t>North</t>
        </is>
      </c>
      <c r="E214" s="108" t="inlineStr">
        <is>
          <t>Product C</t>
        </is>
      </c>
      <c r="F214" s="108" t="inlineStr">
        <is>
          <t>Mid-Market</t>
        </is>
      </c>
      <c r="G214" s="109" t="n">
        <v>26</v>
      </c>
      <c r="H214" s="110" t="n">
        <v>389974</v>
      </c>
      <c r="I214" s="110" t="n">
        <v>431844</v>
      </c>
      <c r="J214" s="110" t="n">
        <v>405558</v>
      </c>
      <c r="K214" s="108" t="inlineStr">
        <is>
          <t>Won</t>
        </is>
      </c>
      <c r="L214" s="138" t="n">
        <v>79</v>
      </c>
      <c r="M214" s="108" t="inlineStr">
        <is>
          <t>Nu LLC</t>
        </is>
      </c>
      <c r="N214" s="108" t="inlineStr">
        <is>
          <t>Enterprise (&gt;$200K)</t>
        </is>
      </c>
      <c r="O214" s="108" t="inlineStr">
        <is>
          <t>LinkedIn</t>
        </is>
      </c>
      <c r="P214" s="110">
        <f>H214*0.08</f>
        <v/>
      </c>
      <c r="Q214" s="137" t="n">
        <v>0.11</v>
      </c>
      <c r="R214" s="108" t="inlineStr">
        <is>
          <t>Q1 deal - LinkedIn channel</t>
        </is>
      </c>
    </row>
    <row r="215" ht="15" customHeight="1" s="77">
      <c r="A215" s="117" t="inlineStr">
        <is>
          <t>2025-02-26</t>
        </is>
      </c>
      <c r="B215" s="117" t="inlineStr">
        <is>
          <t>February</t>
        </is>
      </c>
      <c r="C215" s="117" t="inlineStr">
        <is>
          <t>Kevin Martin</t>
        </is>
      </c>
      <c r="D215" s="117" t="inlineStr">
        <is>
          <t>West</t>
        </is>
      </c>
      <c r="E215" s="117" t="inlineStr">
        <is>
          <t>Product D</t>
        </is>
      </c>
      <c r="F215" s="117" t="inlineStr">
        <is>
          <t>Startup</t>
        </is>
      </c>
      <c r="G215" s="118" t="n">
        <v>50</v>
      </c>
      <c r="H215" s="119" t="n">
        <v>1499950</v>
      </c>
      <c r="I215" s="119" t="n">
        <v>1469783</v>
      </c>
      <c r="J215" s="119" t="n">
        <v>1325180</v>
      </c>
      <c r="K215" s="117" t="inlineStr">
        <is>
          <t>Lost</t>
        </is>
      </c>
      <c r="L215" s="140" t="n">
        <v>39</v>
      </c>
      <c r="M215" s="117" t="inlineStr">
        <is>
          <t>Xi Ltd</t>
        </is>
      </c>
      <c r="N215" s="117" t="inlineStr">
        <is>
          <t>Enterprise (&gt;$200K)</t>
        </is>
      </c>
      <c r="O215" s="117" t="inlineStr">
        <is>
          <t>Trade Show</t>
        </is>
      </c>
      <c r="P215" s="119">
        <f>H215*0.08</f>
        <v/>
      </c>
      <c r="Q215" s="139" t="n">
        <v>0.15</v>
      </c>
      <c r="R215" s="117" t="inlineStr">
        <is>
          <t>Q2 deal - Trade Show channel</t>
        </is>
      </c>
    </row>
    <row r="216" ht="15" customHeight="1" s="77">
      <c r="A216" s="108" t="inlineStr">
        <is>
          <t>2025-03-11</t>
        </is>
      </c>
      <c r="B216" s="108" t="inlineStr">
        <is>
          <t>March</t>
        </is>
      </c>
      <c r="C216" s="108" t="inlineStr">
        <is>
          <t>Nina Patel</t>
        </is>
      </c>
      <c r="D216" s="108" t="inlineStr">
        <is>
          <t>East</t>
        </is>
      </c>
      <c r="E216" s="108" t="inlineStr">
        <is>
          <t>Product E</t>
        </is>
      </c>
      <c r="F216" s="108" t="inlineStr">
        <is>
          <t>Government</t>
        </is>
      </c>
      <c r="G216" s="109" t="n">
        <v>37</v>
      </c>
      <c r="H216" s="110" t="n">
        <v>295963</v>
      </c>
      <c r="I216" s="110" t="n">
        <v>281475</v>
      </c>
      <c r="J216" s="110" t="n">
        <v>298721</v>
      </c>
      <c r="K216" s="108" t="inlineStr">
        <is>
          <t>In Progress</t>
        </is>
      </c>
      <c r="L216" s="138" t="n">
        <v>109</v>
      </c>
      <c r="M216" s="108" t="inlineStr">
        <is>
          <t>Pi Co</t>
        </is>
      </c>
      <c r="N216" s="108" t="inlineStr">
        <is>
          <t>Enterprise (&gt;$200K)</t>
        </is>
      </c>
      <c r="O216" s="108" t="inlineStr">
        <is>
          <t>Website</t>
        </is>
      </c>
      <c r="P216" s="110">
        <f>H216*0.08</f>
        <v/>
      </c>
      <c r="Q216" s="137" t="n">
        <v>0.11</v>
      </c>
      <c r="R216" s="108" t="inlineStr">
        <is>
          <t>Q3 deal - Website channel</t>
        </is>
      </c>
    </row>
    <row r="217" ht="15" customHeight="1" s="77">
      <c r="A217" s="117" t="inlineStr">
        <is>
          <t>2025-04-26</t>
        </is>
      </c>
      <c r="B217" s="117" t="inlineStr">
        <is>
          <t>April</t>
        </is>
      </c>
      <c r="C217" s="117" t="inlineStr">
        <is>
          <t>Chris Wilson</t>
        </is>
      </c>
      <c r="D217" s="117" t="inlineStr">
        <is>
          <t>South</t>
        </is>
      </c>
      <c r="E217" s="117" t="inlineStr">
        <is>
          <t>Product F</t>
        </is>
      </c>
      <c r="F217" s="117" t="inlineStr">
        <is>
          <t>Enterprise</t>
        </is>
      </c>
      <c r="G217" s="118" t="n">
        <v>25</v>
      </c>
      <c r="H217" s="119" t="n">
        <v>124975</v>
      </c>
      <c r="I217" s="119" t="n">
        <v>126702</v>
      </c>
      <c r="J217" s="119" t="n">
        <v>125299</v>
      </c>
      <c r="K217" s="117" t="inlineStr">
        <is>
          <t>In Progress</t>
        </is>
      </c>
      <c r="L217" s="140" t="n">
        <v>103</v>
      </c>
      <c r="M217" s="117" t="inlineStr">
        <is>
          <t>Rho Corp</t>
        </is>
      </c>
      <c r="N217" s="117" t="inlineStr">
        <is>
          <t>Large ($50K-$200K)</t>
        </is>
      </c>
      <c r="O217" s="117" t="inlineStr">
        <is>
          <t>Partner</t>
        </is>
      </c>
      <c r="P217" s="119">
        <f>H217*0.08</f>
        <v/>
      </c>
      <c r="Q217" s="139" t="n">
        <v>0.01</v>
      </c>
      <c r="R217" s="117" t="inlineStr">
        <is>
          <t>Q4 deal - Partner channel</t>
        </is>
      </c>
    </row>
    <row r="218" ht="15" customHeight="1" s="77">
      <c r="A218" s="108" t="inlineStr">
        <is>
          <t>2025-04-09</t>
        </is>
      </c>
      <c r="B218" s="108" t="inlineStr">
        <is>
          <t>April</t>
        </is>
      </c>
      <c r="C218" s="108" t="inlineStr">
        <is>
          <t>Amanda Foster</t>
        </is>
      </c>
      <c r="D218" s="108" t="inlineStr">
        <is>
          <t>Central</t>
        </is>
      </c>
      <c r="E218" s="108" t="inlineStr">
        <is>
          <t>Product G</t>
        </is>
      </c>
      <c r="F218" s="108" t="inlineStr">
        <is>
          <t>SMB</t>
        </is>
      </c>
      <c r="G218" s="109" t="n">
        <v>47</v>
      </c>
      <c r="H218" s="110" t="n">
        <v>234953</v>
      </c>
      <c r="I218" s="110" t="n">
        <v>241102</v>
      </c>
      <c r="J218" s="110" t="n">
        <v>216177</v>
      </c>
      <c r="K218" s="108" t="inlineStr">
        <is>
          <t>Won</t>
        </is>
      </c>
      <c r="L218" s="138" t="n">
        <v>82</v>
      </c>
      <c r="M218" s="108" t="inlineStr">
        <is>
          <t>Sigma Inc</t>
        </is>
      </c>
      <c r="N218" s="108" t="inlineStr">
        <is>
          <t>Enterprise (&gt;$200K)</t>
        </is>
      </c>
      <c r="O218" s="108" t="inlineStr">
        <is>
          <t>Email Campaign</t>
        </is>
      </c>
      <c r="P218" s="110">
        <f>H218*0.08</f>
        <v/>
      </c>
      <c r="Q218" s="137" t="n">
        <v>0.05</v>
      </c>
      <c r="R218" s="108" t="inlineStr">
        <is>
          <t>Q1 deal - Email Campaign channel</t>
        </is>
      </c>
    </row>
    <row r="219" ht="15" customHeight="1" s="77">
      <c r="A219" s="117" t="inlineStr">
        <is>
          <t>2025-06-26</t>
        </is>
      </c>
      <c r="B219" s="117" t="inlineStr">
        <is>
          <t>June</t>
        </is>
      </c>
      <c r="C219" s="117" t="inlineStr">
        <is>
          <t>Robert Taylor</t>
        </is>
      </c>
      <c r="D219" s="117" t="inlineStr">
        <is>
          <t>International</t>
        </is>
      </c>
      <c r="E219" s="117" t="inlineStr">
        <is>
          <t>Product H</t>
        </is>
      </c>
      <c r="F219" s="117" t="inlineStr">
        <is>
          <t>Mid-Market</t>
        </is>
      </c>
      <c r="G219" s="118" t="n">
        <v>50</v>
      </c>
      <c r="H219" s="119" t="n">
        <v>999950</v>
      </c>
      <c r="I219" s="119" t="n">
        <v>1011513</v>
      </c>
      <c r="J219" s="119" t="n">
        <v>939266</v>
      </c>
      <c r="K219" s="117" t="inlineStr">
        <is>
          <t>Won</t>
        </is>
      </c>
      <c r="L219" s="140" t="n">
        <v>37</v>
      </c>
      <c r="M219" s="117" t="inlineStr">
        <is>
          <t>Tau LLC</t>
        </is>
      </c>
      <c r="N219" s="117" t="inlineStr">
        <is>
          <t>Enterprise (&gt;$200K)</t>
        </is>
      </c>
      <c r="O219" s="117" t="inlineStr">
        <is>
          <t>Webinar</t>
        </is>
      </c>
      <c r="P219" s="119">
        <f>H219*0.08</f>
        <v/>
      </c>
      <c r="Q219" s="139" t="n">
        <v>0.09</v>
      </c>
      <c r="R219" s="117" t="inlineStr">
        <is>
          <t>Q2 deal - Webinar channel</t>
        </is>
      </c>
    </row>
    <row r="220" ht="15" customHeight="1" s="77">
      <c r="A220" s="108" t="inlineStr">
        <is>
          <t>2025-01-14</t>
        </is>
      </c>
      <c r="B220" s="108" t="inlineStr">
        <is>
          <t>January</t>
        </is>
      </c>
      <c r="C220" s="108" t="inlineStr">
        <is>
          <t>Jennifer Moore</t>
        </is>
      </c>
      <c r="D220" s="108" t="inlineStr">
        <is>
          <t>North</t>
        </is>
      </c>
      <c r="E220" s="108" t="inlineStr">
        <is>
          <t>Product I</t>
        </is>
      </c>
      <c r="F220" s="108" t="inlineStr">
        <is>
          <t>Startup</t>
        </is>
      </c>
      <c r="G220" s="109" t="n">
        <v>32</v>
      </c>
      <c r="H220" s="110" t="n">
        <v>159968</v>
      </c>
      <c r="I220" s="110" t="n">
        <v>169950</v>
      </c>
      <c r="J220" s="110" t="n">
        <v>164412</v>
      </c>
      <c r="K220" s="108" t="inlineStr">
        <is>
          <t>Won</t>
        </is>
      </c>
      <c r="L220" s="138" t="n">
        <v>75</v>
      </c>
      <c r="M220" s="108" t="inlineStr">
        <is>
          <t>Upsilon Ltd</t>
        </is>
      </c>
      <c r="N220" s="108" t="inlineStr">
        <is>
          <t>Large ($50K-$200K)</t>
        </is>
      </c>
      <c r="O220" s="108" t="inlineStr">
        <is>
          <t>SEO</t>
        </is>
      </c>
      <c r="P220" s="110">
        <f>H220*0.08</f>
        <v/>
      </c>
      <c r="Q220" s="137" t="n">
        <v>0.08</v>
      </c>
      <c r="R220" s="108" t="inlineStr">
        <is>
          <t>Q3 deal - SEO channel</t>
        </is>
      </c>
    </row>
    <row r="221" ht="15" customHeight="1" s="77">
      <c r="A221" s="117" t="inlineStr">
        <is>
          <t>2025-11-27</t>
        </is>
      </c>
      <c r="B221" s="117" t="inlineStr">
        <is>
          <t>November</t>
        </is>
      </c>
      <c r="C221" s="117" t="inlineStr">
        <is>
          <t>Daniel Jackson</t>
        </is>
      </c>
      <c r="D221" s="117" t="inlineStr">
        <is>
          <t>West</t>
        </is>
      </c>
      <c r="E221" s="117" t="inlineStr">
        <is>
          <t>Product J</t>
        </is>
      </c>
      <c r="F221" s="117" t="inlineStr">
        <is>
          <t>Government</t>
        </is>
      </c>
      <c r="G221" s="118" t="n">
        <v>40</v>
      </c>
      <c r="H221" s="119" t="n">
        <v>1999960</v>
      </c>
      <c r="I221" s="119" t="n">
        <v>1867747</v>
      </c>
      <c r="J221" s="119" t="n">
        <v>2185751</v>
      </c>
      <c r="K221" s="117" t="inlineStr">
        <is>
          <t>Won</t>
        </is>
      </c>
      <c r="L221" s="140" t="n">
        <v>57</v>
      </c>
      <c r="M221" s="117" t="inlineStr">
        <is>
          <t>Phi Co</t>
        </is>
      </c>
      <c r="N221" s="117" t="inlineStr">
        <is>
          <t>Enterprise (&gt;$200K)</t>
        </is>
      </c>
      <c r="O221" s="117" t="inlineStr">
        <is>
          <t>Direct</t>
        </is>
      </c>
      <c r="P221" s="119">
        <f>H221*0.08</f>
        <v/>
      </c>
      <c r="Q221" s="139" t="n">
        <v>0.08</v>
      </c>
      <c r="R221" s="117" t="inlineStr">
        <is>
          <t>Q4 deal - Direct channel</t>
        </is>
      </c>
    </row>
    <row r="222" ht="15" customHeight="1" s="77">
      <c r="A222" s="108" t="inlineStr">
        <is>
          <t>2025-12-13</t>
        </is>
      </c>
      <c r="B222" s="108" t="inlineStr">
        <is>
          <t>December</t>
        </is>
      </c>
      <c r="C222" s="108" t="inlineStr">
        <is>
          <t>Sarah Johnson</t>
        </is>
      </c>
      <c r="D222" s="108" t="inlineStr">
        <is>
          <t>North</t>
        </is>
      </c>
      <c r="E222" s="108" t="inlineStr">
        <is>
          <t>Product A</t>
        </is>
      </c>
      <c r="F222" s="108" t="inlineStr">
        <is>
          <t>Enterprise</t>
        </is>
      </c>
      <c r="G222" s="109" t="n">
        <v>25</v>
      </c>
      <c r="H222" s="110" t="n">
        <v>1249975</v>
      </c>
      <c r="I222" s="110" t="n">
        <v>1417684</v>
      </c>
      <c r="J222" s="110" t="n">
        <v>1279596</v>
      </c>
      <c r="K222" s="108" t="inlineStr">
        <is>
          <t>Lost</t>
        </is>
      </c>
      <c r="L222" s="138" t="n">
        <v>88</v>
      </c>
      <c r="M222" s="108" t="inlineStr">
        <is>
          <t>Acme Corp</t>
        </is>
      </c>
      <c r="N222" s="108" t="inlineStr">
        <is>
          <t>Enterprise (&gt;$200K)</t>
        </is>
      </c>
      <c r="O222" s="108" t="inlineStr">
        <is>
          <t>Referral</t>
        </is>
      </c>
      <c r="P222" s="110">
        <f>H222*0.08</f>
        <v/>
      </c>
      <c r="Q222" s="137" t="n">
        <v>0.14</v>
      </c>
      <c r="R222" s="108" t="inlineStr">
        <is>
          <t>Q1 deal - Referral channel</t>
        </is>
      </c>
    </row>
    <row r="223" ht="15" customHeight="1" s="77">
      <c r="A223" s="117" t="inlineStr">
        <is>
          <t>2025-01-27</t>
        </is>
      </c>
      <c r="B223" s="117" t="inlineStr">
        <is>
          <t>January</t>
        </is>
      </c>
      <c r="C223" s="117" t="inlineStr">
        <is>
          <t>Mike Chen</t>
        </is>
      </c>
      <c r="D223" s="117" t="inlineStr">
        <is>
          <t>West</t>
        </is>
      </c>
      <c r="E223" s="117" t="inlineStr">
        <is>
          <t>Product B</t>
        </is>
      </c>
      <c r="F223" s="117" t="inlineStr">
        <is>
          <t>SMB</t>
        </is>
      </c>
      <c r="G223" s="118" t="n">
        <v>31</v>
      </c>
      <c r="H223" s="119" t="n">
        <v>464969</v>
      </c>
      <c r="I223" s="119" t="n">
        <v>531160</v>
      </c>
      <c r="J223" s="119" t="n">
        <v>435871</v>
      </c>
      <c r="K223" s="117" t="inlineStr">
        <is>
          <t>In Progress</t>
        </is>
      </c>
      <c r="L223" s="140" t="n">
        <v>45</v>
      </c>
      <c r="M223" s="117" t="inlineStr">
        <is>
          <t>Beta Inc</t>
        </is>
      </c>
      <c r="N223" s="117" t="inlineStr">
        <is>
          <t>Enterprise (&gt;$200K)</t>
        </is>
      </c>
      <c r="O223" s="117" t="inlineStr">
        <is>
          <t>Cold Call</t>
        </is>
      </c>
      <c r="P223" s="119">
        <f>H223*0.08</f>
        <v/>
      </c>
      <c r="Q223" s="139" t="n">
        <v>0.13</v>
      </c>
      <c r="R223" s="117" t="inlineStr">
        <is>
          <t>Q2 deal - Cold Call channel</t>
        </is>
      </c>
    </row>
    <row r="224" ht="15" customHeight="1" s="77">
      <c r="A224" s="108" t="inlineStr">
        <is>
          <t>2025-10-18</t>
        </is>
      </c>
      <c r="B224" s="108" t="inlineStr">
        <is>
          <t>October</t>
        </is>
      </c>
      <c r="C224" s="108" t="inlineStr">
        <is>
          <t>Priya Sharma</t>
        </is>
      </c>
      <c r="D224" s="108" t="inlineStr">
        <is>
          <t>East</t>
        </is>
      </c>
      <c r="E224" s="108" t="inlineStr">
        <is>
          <t>Product C</t>
        </is>
      </c>
      <c r="F224" s="108" t="inlineStr">
        <is>
          <t>Mid-Market</t>
        </is>
      </c>
      <c r="G224" s="109" t="n">
        <v>32</v>
      </c>
      <c r="H224" s="110" t="n">
        <v>159968</v>
      </c>
      <c r="I224" s="110" t="n">
        <v>149929</v>
      </c>
      <c r="J224" s="110" t="n">
        <v>149389</v>
      </c>
      <c r="K224" s="108" t="inlineStr">
        <is>
          <t>In Progress</t>
        </is>
      </c>
      <c r="L224" s="138" t="n">
        <v>92</v>
      </c>
      <c r="M224" s="108" t="inlineStr">
        <is>
          <t>Gamma LLC</t>
        </is>
      </c>
      <c r="N224" s="108" t="inlineStr">
        <is>
          <t>Large ($50K-$200K)</t>
        </is>
      </c>
      <c r="O224" s="108" t="inlineStr">
        <is>
          <t>LinkedIn</t>
        </is>
      </c>
      <c r="P224" s="110">
        <f>H224*0.08</f>
        <v/>
      </c>
      <c r="Q224" s="137" t="n">
        <v>0.1</v>
      </c>
      <c r="R224" s="108" t="inlineStr">
        <is>
          <t>Q3 deal - LinkedIn channel</t>
        </is>
      </c>
    </row>
    <row r="225" ht="15" customHeight="1" s="77">
      <c r="A225" s="117" t="inlineStr">
        <is>
          <t>2025-07-27</t>
        </is>
      </c>
      <c r="B225" s="117" t="inlineStr">
        <is>
          <t>July</t>
        </is>
      </c>
      <c r="C225" s="117" t="inlineStr">
        <is>
          <t>James Williams</t>
        </is>
      </c>
      <c r="D225" s="117" t="inlineStr">
        <is>
          <t>South</t>
        </is>
      </c>
      <c r="E225" s="117" t="inlineStr">
        <is>
          <t>Product D</t>
        </is>
      </c>
      <c r="F225" s="117" t="inlineStr">
        <is>
          <t>Startup</t>
        </is>
      </c>
      <c r="G225" s="118" t="n">
        <v>43</v>
      </c>
      <c r="H225" s="119" t="n">
        <v>644957</v>
      </c>
      <c r="I225" s="119" t="n">
        <v>722122</v>
      </c>
      <c r="J225" s="119" t="n">
        <v>652434</v>
      </c>
      <c r="K225" s="117" t="inlineStr">
        <is>
          <t>Won</t>
        </is>
      </c>
      <c r="L225" s="140" t="n">
        <v>109</v>
      </c>
      <c r="M225" s="117" t="inlineStr">
        <is>
          <t>Delta Ltd</t>
        </is>
      </c>
      <c r="N225" s="117" t="inlineStr">
        <is>
          <t>Enterprise (&gt;$200K)</t>
        </is>
      </c>
      <c r="O225" s="117" t="inlineStr">
        <is>
          <t>Trade Show</t>
        </is>
      </c>
      <c r="P225" s="119">
        <f>H225*0.08</f>
        <v/>
      </c>
      <c r="Q225" s="139" t="n">
        <v>0.04</v>
      </c>
      <c r="R225" s="117" t="inlineStr">
        <is>
          <t>Q4 deal - Trade Show channel</t>
        </is>
      </c>
    </row>
    <row r="226" ht="15" customHeight="1" s="77">
      <c r="A226" s="108" t="inlineStr">
        <is>
          <t>2025-02-22</t>
        </is>
      </c>
      <c r="B226" s="108" t="inlineStr">
        <is>
          <t>February</t>
        </is>
      </c>
      <c r="C226" s="108" t="inlineStr">
        <is>
          <t>Emily Davis</t>
        </is>
      </c>
      <c r="D226" s="108" t="inlineStr">
        <is>
          <t>Central</t>
        </is>
      </c>
      <c r="E226" s="108" t="inlineStr">
        <is>
          <t>Product E</t>
        </is>
      </c>
      <c r="F226" s="108" t="inlineStr">
        <is>
          <t>Government</t>
        </is>
      </c>
      <c r="G226" s="109" t="n">
        <v>1</v>
      </c>
      <c r="H226" s="110" t="n">
        <v>19999</v>
      </c>
      <c r="I226" s="110" t="n">
        <v>23746</v>
      </c>
      <c r="J226" s="110" t="n">
        <v>21722</v>
      </c>
      <c r="K226" s="108" t="inlineStr">
        <is>
          <t>Won</t>
        </is>
      </c>
      <c r="L226" s="138" t="n">
        <v>92</v>
      </c>
      <c r="M226" s="108" t="inlineStr">
        <is>
          <t>Epsilon Co</t>
        </is>
      </c>
      <c r="N226" s="108" t="inlineStr">
        <is>
          <t>Medium ($10K-$50K)</t>
        </is>
      </c>
      <c r="O226" s="108" t="inlineStr">
        <is>
          <t>Website</t>
        </is>
      </c>
      <c r="P226" s="110">
        <f>H226*0.08</f>
        <v/>
      </c>
      <c r="Q226" s="137" t="n">
        <v>0.03</v>
      </c>
      <c r="R226" s="108" t="inlineStr">
        <is>
          <t>Q1 deal - Website channel</t>
        </is>
      </c>
    </row>
    <row r="227" ht="15" customHeight="1" s="77">
      <c r="A227" s="117" t="inlineStr">
        <is>
          <t>2025-02-17</t>
        </is>
      </c>
      <c r="B227" s="117" t="inlineStr">
        <is>
          <t>February</t>
        </is>
      </c>
      <c r="C227" s="117" t="inlineStr">
        <is>
          <t>Carlos Ruiz</t>
        </is>
      </c>
      <c r="D227" s="117" t="inlineStr">
        <is>
          <t>International</t>
        </is>
      </c>
      <c r="E227" s="117" t="inlineStr">
        <is>
          <t>Product F</t>
        </is>
      </c>
      <c r="F227" s="117" t="inlineStr">
        <is>
          <t>Enterprise</t>
        </is>
      </c>
      <c r="G227" s="118" t="n">
        <v>3</v>
      </c>
      <c r="H227" s="119" t="n">
        <v>59997</v>
      </c>
      <c r="I227" s="119" t="n">
        <v>58217</v>
      </c>
      <c r="J227" s="119" t="n">
        <v>51309</v>
      </c>
      <c r="K227" s="117" t="inlineStr">
        <is>
          <t>Won</t>
        </is>
      </c>
      <c r="L227" s="140" t="n">
        <v>34</v>
      </c>
      <c r="M227" s="117" t="inlineStr">
        <is>
          <t>Zeta Corp</t>
        </is>
      </c>
      <c r="N227" s="117" t="inlineStr">
        <is>
          <t>Large ($50K-$200K)</t>
        </is>
      </c>
      <c r="O227" s="117" t="inlineStr">
        <is>
          <t>Partner</t>
        </is>
      </c>
      <c r="P227" s="119">
        <f>H227*0.08</f>
        <v/>
      </c>
      <c r="Q227" s="139" t="n">
        <v>0.02</v>
      </c>
      <c r="R227" s="117" t="inlineStr">
        <is>
          <t>Q2 deal - Partner channel</t>
        </is>
      </c>
    </row>
    <row r="228" ht="15" customHeight="1" s="77">
      <c r="A228" s="108" t="inlineStr">
        <is>
          <t>2025-01-10</t>
        </is>
      </c>
      <c r="B228" s="108" t="inlineStr">
        <is>
          <t>January</t>
        </is>
      </c>
      <c r="C228" s="108" t="inlineStr">
        <is>
          <t>Lisa Park</t>
        </is>
      </c>
      <c r="D228" s="108" t="inlineStr">
        <is>
          <t>North</t>
        </is>
      </c>
      <c r="E228" s="108" t="inlineStr">
        <is>
          <t>Product G</t>
        </is>
      </c>
      <c r="F228" s="108" t="inlineStr">
        <is>
          <t>SMB</t>
        </is>
      </c>
      <c r="G228" s="109" t="n">
        <v>16</v>
      </c>
      <c r="H228" s="110" t="n">
        <v>79984</v>
      </c>
      <c r="I228" s="110" t="n">
        <v>94617</v>
      </c>
      <c r="J228" s="110" t="n">
        <v>81132</v>
      </c>
      <c r="K228" s="108" t="inlineStr">
        <is>
          <t>Won</t>
        </is>
      </c>
      <c r="L228" s="138" t="n">
        <v>9</v>
      </c>
      <c r="M228" s="108" t="inlineStr">
        <is>
          <t>Eta Inc</t>
        </is>
      </c>
      <c r="N228" s="108" t="inlineStr">
        <is>
          <t>Large ($50K-$200K)</t>
        </is>
      </c>
      <c r="O228" s="108" t="inlineStr">
        <is>
          <t>Email Campaign</t>
        </is>
      </c>
      <c r="P228" s="110">
        <f>H228*0.08</f>
        <v/>
      </c>
      <c r="Q228" s="137" t="n">
        <v>0.06</v>
      </c>
      <c r="R228" s="108" t="inlineStr">
        <is>
          <t>Q3 deal - Email Campaign channel</t>
        </is>
      </c>
    </row>
    <row r="229" ht="15" customHeight="1" s="77">
      <c r="A229" s="117" t="inlineStr">
        <is>
          <t>2025-07-04</t>
        </is>
      </c>
      <c r="B229" s="117" t="inlineStr">
        <is>
          <t>July</t>
        </is>
      </c>
      <c r="C229" s="117" t="inlineStr">
        <is>
          <t>Tom Brown</t>
        </is>
      </c>
      <c r="D229" s="117" t="inlineStr">
        <is>
          <t>West</t>
        </is>
      </c>
      <c r="E229" s="117" t="inlineStr">
        <is>
          <t>Product H</t>
        </is>
      </c>
      <c r="F229" s="117" t="inlineStr">
        <is>
          <t>Mid-Market</t>
        </is>
      </c>
      <c r="G229" s="118" t="n">
        <v>36</v>
      </c>
      <c r="H229" s="119" t="n">
        <v>1079964</v>
      </c>
      <c r="I229" s="119" t="n">
        <v>1116020</v>
      </c>
      <c r="J229" s="119" t="n">
        <v>998023</v>
      </c>
      <c r="K229" s="117" t="inlineStr">
        <is>
          <t>Lost</t>
        </is>
      </c>
      <c r="L229" s="140" t="n">
        <v>102</v>
      </c>
      <c r="M229" s="117" t="inlineStr">
        <is>
          <t>Theta LLC</t>
        </is>
      </c>
      <c r="N229" s="117" t="inlineStr">
        <is>
          <t>Enterprise (&gt;$200K)</t>
        </is>
      </c>
      <c r="O229" s="117" t="inlineStr">
        <is>
          <t>Webinar</t>
        </is>
      </c>
      <c r="P229" s="119">
        <f>H229*0.08</f>
        <v/>
      </c>
      <c r="Q229" s="139" t="n">
        <v>0.04</v>
      </c>
      <c r="R229" s="117" t="inlineStr">
        <is>
          <t>Q4 deal - Webinar channel</t>
        </is>
      </c>
    </row>
    <row r="230" ht="15" customHeight="1" s="77">
      <c r="A230" s="108" t="inlineStr">
        <is>
          <t>2025-05-14</t>
        </is>
      </c>
      <c r="B230" s="108" t="inlineStr">
        <is>
          <t>May</t>
        </is>
      </c>
      <c r="C230" s="108" t="inlineStr">
        <is>
          <t>Anna Schmidt</t>
        </is>
      </c>
      <c r="D230" s="108" t="inlineStr">
        <is>
          <t>East</t>
        </is>
      </c>
      <c r="E230" s="108" t="inlineStr">
        <is>
          <t>Product I</t>
        </is>
      </c>
      <c r="F230" s="108" t="inlineStr">
        <is>
          <t>Startup</t>
        </is>
      </c>
      <c r="G230" s="109" t="n">
        <v>8</v>
      </c>
      <c r="H230" s="110" t="n">
        <v>199992</v>
      </c>
      <c r="I230" s="110" t="n">
        <v>194466</v>
      </c>
      <c r="J230" s="110" t="n">
        <v>197823</v>
      </c>
      <c r="K230" s="108" t="inlineStr">
        <is>
          <t>In Progress</t>
        </is>
      </c>
      <c r="L230" s="138" t="n">
        <v>83</v>
      </c>
      <c r="M230" s="108" t="inlineStr">
        <is>
          <t>Iota Ltd</t>
        </is>
      </c>
      <c r="N230" s="108" t="inlineStr">
        <is>
          <t>Large ($50K-$200K)</t>
        </is>
      </c>
      <c r="O230" s="108" t="inlineStr">
        <is>
          <t>SEO</t>
        </is>
      </c>
      <c r="P230" s="110">
        <f>H230*0.08</f>
        <v/>
      </c>
      <c r="Q230" s="137" t="n">
        <v>0.09</v>
      </c>
      <c r="R230" s="108" t="inlineStr">
        <is>
          <t>Q1 deal - SEO channel</t>
        </is>
      </c>
    </row>
    <row r="231" ht="15" customHeight="1" s="77">
      <c r="A231" s="117" t="inlineStr">
        <is>
          <t>2025-08-11</t>
        </is>
      </c>
      <c r="B231" s="117" t="inlineStr">
        <is>
          <t>August</t>
        </is>
      </c>
      <c r="C231" s="117" t="inlineStr">
        <is>
          <t>David Kim</t>
        </is>
      </c>
      <c r="D231" s="117" t="inlineStr">
        <is>
          <t>South</t>
        </is>
      </c>
      <c r="E231" s="117" t="inlineStr">
        <is>
          <t>Product J</t>
        </is>
      </c>
      <c r="F231" s="117" t="inlineStr">
        <is>
          <t>Government</t>
        </is>
      </c>
      <c r="G231" s="118" t="n">
        <v>4</v>
      </c>
      <c r="H231" s="119" t="n">
        <v>59996</v>
      </c>
      <c r="I231" s="119" t="n">
        <v>55883</v>
      </c>
      <c r="J231" s="119" t="n">
        <v>52693</v>
      </c>
      <c r="K231" s="117" t="inlineStr">
        <is>
          <t>In Progress</t>
        </is>
      </c>
      <c r="L231" s="140" t="n">
        <v>14</v>
      </c>
      <c r="M231" s="117" t="inlineStr">
        <is>
          <t>Kappa Co</t>
        </is>
      </c>
      <c r="N231" s="117" t="inlineStr">
        <is>
          <t>Large ($50K-$200K)</t>
        </is>
      </c>
      <c r="O231" s="117" t="inlineStr">
        <is>
          <t>Direct</t>
        </is>
      </c>
      <c r="P231" s="119">
        <f>H231*0.08</f>
        <v/>
      </c>
      <c r="Q231" s="139" t="n">
        <v>0.01</v>
      </c>
      <c r="R231" s="117" t="inlineStr">
        <is>
          <t>Q2 deal - Direct channel</t>
        </is>
      </c>
    </row>
    <row r="232" ht="15" customHeight="1" s="77">
      <c r="A232" s="108" t="inlineStr">
        <is>
          <t>2025-05-30</t>
        </is>
      </c>
      <c r="B232" s="108" t="inlineStr">
        <is>
          <t>May</t>
        </is>
      </c>
      <c r="C232" s="108" t="inlineStr">
        <is>
          <t>Rachel Green</t>
        </is>
      </c>
      <c r="D232" s="108" t="inlineStr">
        <is>
          <t>Central</t>
        </is>
      </c>
      <c r="E232" s="108" t="inlineStr">
        <is>
          <t>Product A</t>
        </is>
      </c>
      <c r="F232" s="108" t="inlineStr">
        <is>
          <t>Enterprise</t>
        </is>
      </c>
      <c r="G232" s="109" t="n">
        <v>23</v>
      </c>
      <c r="H232" s="110" t="n">
        <v>689977</v>
      </c>
      <c r="I232" s="110" t="n">
        <v>809252</v>
      </c>
      <c r="J232" s="110" t="n">
        <v>680146</v>
      </c>
      <c r="K232" s="108" t="inlineStr">
        <is>
          <t>Won</t>
        </is>
      </c>
      <c r="L232" s="138" t="n">
        <v>52</v>
      </c>
      <c r="M232" s="108" t="inlineStr">
        <is>
          <t>Lambda Corp</t>
        </is>
      </c>
      <c r="N232" s="108" t="inlineStr">
        <is>
          <t>Enterprise (&gt;$200K)</t>
        </is>
      </c>
      <c r="O232" s="108" t="inlineStr">
        <is>
          <t>Referral</t>
        </is>
      </c>
      <c r="P232" s="110">
        <f>H232*0.08</f>
        <v/>
      </c>
      <c r="Q232" s="137" t="n">
        <v>0.12</v>
      </c>
      <c r="R232" s="108" t="inlineStr">
        <is>
          <t>Q3 deal - Referral channel</t>
        </is>
      </c>
    </row>
    <row r="233" ht="15" customHeight="1" s="77">
      <c r="A233" s="117" t="inlineStr">
        <is>
          <t>2025-09-11</t>
        </is>
      </c>
      <c r="B233" s="117" t="inlineStr">
        <is>
          <t>September</t>
        </is>
      </c>
      <c r="C233" s="117" t="inlineStr">
        <is>
          <t>Mark Thompson</t>
        </is>
      </c>
      <c r="D233" s="117" t="inlineStr">
        <is>
          <t>International</t>
        </is>
      </c>
      <c r="E233" s="117" t="inlineStr">
        <is>
          <t>Product B</t>
        </is>
      </c>
      <c r="F233" s="117" t="inlineStr">
        <is>
          <t>SMB</t>
        </is>
      </c>
      <c r="G233" s="118" t="n">
        <v>25</v>
      </c>
      <c r="H233" s="119" t="n">
        <v>374975</v>
      </c>
      <c r="I233" s="119" t="n">
        <v>392720</v>
      </c>
      <c r="J233" s="119" t="n">
        <v>342575</v>
      </c>
      <c r="K233" s="117" t="inlineStr">
        <is>
          <t>Won</t>
        </is>
      </c>
      <c r="L233" s="140" t="n">
        <v>31</v>
      </c>
      <c r="M233" s="117" t="inlineStr">
        <is>
          <t>Mu Inc</t>
        </is>
      </c>
      <c r="N233" s="117" t="inlineStr">
        <is>
          <t>Enterprise (&gt;$200K)</t>
        </is>
      </c>
      <c r="O233" s="117" t="inlineStr">
        <is>
          <t>Cold Call</t>
        </is>
      </c>
      <c r="P233" s="119">
        <f>H233*0.08</f>
        <v/>
      </c>
      <c r="Q233" s="139" t="n">
        <v>0.01</v>
      </c>
      <c r="R233" s="117" t="inlineStr">
        <is>
          <t>Q4 deal - Cold Call channel</t>
        </is>
      </c>
    </row>
    <row r="234" ht="15" customHeight="1" s="77">
      <c r="A234" s="108" t="inlineStr">
        <is>
          <t>2025-05-14</t>
        </is>
      </c>
      <c r="B234" s="108" t="inlineStr">
        <is>
          <t>May</t>
        </is>
      </c>
      <c r="C234" s="108" t="inlineStr">
        <is>
          <t>Susan Lee</t>
        </is>
      </c>
      <c r="D234" s="108" t="inlineStr">
        <is>
          <t>North</t>
        </is>
      </c>
      <c r="E234" s="108" t="inlineStr">
        <is>
          <t>Product C</t>
        </is>
      </c>
      <c r="F234" s="108" t="inlineStr">
        <is>
          <t>Mid-Market</t>
        </is>
      </c>
      <c r="G234" s="109" t="n">
        <v>8</v>
      </c>
      <c r="H234" s="110" t="n">
        <v>39992</v>
      </c>
      <c r="I234" s="110" t="n">
        <v>38285</v>
      </c>
      <c r="J234" s="110" t="n">
        <v>36269</v>
      </c>
      <c r="K234" s="108" t="inlineStr">
        <is>
          <t>Won</t>
        </is>
      </c>
      <c r="L234" s="138" t="n">
        <v>59</v>
      </c>
      <c r="M234" s="108" t="inlineStr">
        <is>
          <t>Nu LLC</t>
        </is>
      </c>
      <c r="N234" s="108" t="inlineStr">
        <is>
          <t>Medium ($10K-$50K)</t>
        </is>
      </c>
      <c r="O234" s="108" t="inlineStr">
        <is>
          <t>LinkedIn</t>
        </is>
      </c>
      <c r="P234" s="110">
        <f>H234*0.08</f>
        <v/>
      </c>
      <c r="Q234" s="137" t="n">
        <v>0.05</v>
      </c>
      <c r="R234" s="108" t="inlineStr">
        <is>
          <t>Q1 deal - LinkedIn channel</t>
        </is>
      </c>
    </row>
    <row r="235" ht="15" customHeight="1" s="77">
      <c r="A235" s="117" t="inlineStr">
        <is>
          <t>2025-02-03</t>
        </is>
      </c>
      <c r="B235" s="117" t="inlineStr">
        <is>
          <t>February</t>
        </is>
      </c>
      <c r="C235" s="117" t="inlineStr">
        <is>
          <t>Kevin Martin</t>
        </is>
      </c>
      <c r="D235" s="117" t="inlineStr">
        <is>
          <t>West</t>
        </is>
      </c>
      <c r="E235" s="117" t="inlineStr">
        <is>
          <t>Product D</t>
        </is>
      </c>
      <c r="F235" s="117" t="inlineStr">
        <is>
          <t>Startup</t>
        </is>
      </c>
      <c r="G235" s="118" t="n">
        <v>34</v>
      </c>
      <c r="H235" s="119" t="n">
        <v>679966</v>
      </c>
      <c r="I235" s="119" t="n">
        <v>699838</v>
      </c>
      <c r="J235" s="119" t="n">
        <v>594541</v>
      </c>
      <c r="K235" s="117" t="inlineStr">
        <is>
          <t>Won</t>
        </is>
      </c>
      <c r="L235" s="140" t="n">
        <v>61</v>
      </c>
      <c r="M235" s="117" t="inlineStr">
        <is>
          <t>Xi Ltd</t>
        </is>
      </c>
      <c r="N235" s="117" t="inlineStr">
        <is>
          <t>Enterprise (&gt;$200K)</t>
        </is>
      </c>
      <c r="O235" s="117" t="inlineStr">
        <is>
          <t>Trade Show</t>
        </is>
      </c>
      <c r="P235" s="119">
        <f>H235*0.08</f>
        <v/>
      </c>
      <c r="Q235" s="139" t="n">
        <v>0.01</v>
      </c>
      <c r="R235" s="117" t="inlineStr">
        <is>
          <t>Q2 deal - Trade Show channel</t>
        </is>
      </c>
    </row>
    <row r="236" ht="15" customHeight="1" s="77">
      <c r="A236" s="108" t="inlineStr">
        <is>
          <t>2025-05-30</t>
        </is>
      </c>
      <c r="B236" s="108" t="inlineStr">
        <is>
          <t>May</t>
        </is>
      </c>
      <c r="C236" s="108" t="inlineStr">
        <is>
          <t>Nina Patel</t>
        </is>
      </c>
      <c r="D236" s="108" t="inlineStr">
        <is>
          <t>East</t>
        </is>
      </c>
      <c r="E236" s="108" t="inlineStr">
        <is>
          <t>Product E</t>
        </is>
      </c>
      <c r="F236" s="108" t="inlineStr">
        <is>
          <t>Government</t>
        </is>
      </c>
      <c r="G236" s="109" t="n">
        <v>28</v>
      </c>
      <c r="H236" s="110" t="n">
        <v>839972</v>
      </c>
      <c r="I236" s="110" t="n">
        <v>843219</v>
      </c>
      <c r="J236" s="110" t="n">
        <v>850744</v>
      </c>
      <c r="K236" s="108" t="inlineStr">
        <is>
          <t>Lost</t>
        </is>
      </c>
      <c r="L236" s="138" t="n">
        <v>55</v>
      </c>
      <c r="M236" s="108" t="inlineStr">
        <is>
          <t>Pi Co</t>
        </is>
      </c>
      <c r="N236" s="108" t="inlineStr">
        <is>
          <t>Enterprise (&gt;$200K)</t>
        </is>
      </c>
      <c r="O236" s="108" t="inlineStr">
        <is>
          <t>Website</t>
        </is>
      </c>
      <c r="P236" s="110">
        <f>H236*0.08</f>
        <v/>
      </c>
      <c r="Q236" s="137" t="n">
        <v>0.12</v>
      </c>
      <c r="R236" s="108" t="inlineStr">
        <is>
          <t>Q3 deal - Website channel</t>
        </is>
      </c>
    </row>
    <row r="237" ht="15" customHeight="1" s="77">
      <c r="A237" s="117" t="inlineStr">
        <is>
          <t>2025-10-31</t>
        </is>
      </c>
      <c r="B237" s="117" t="inlineStr">
        <is>
          <t>October</t>
        </is>
      </c>
      <c r="C237" s="117" t="inlineStr">
        <is>
          <t>Chris Wilson</t>
        </is>
      </c>
      <c r="D237" s="117" t="inlineStr">
        <is>
          <t>South</t>
        </is>
      </c>
      <c r="E237" s="117" t="inlineStr">
        <is>
          <t>Product F</t>
        </is>
      </c>
      <c r="F237" s="117" t="inlineStr">
        <is>
          <t>Enterprise</t>
        </is>
      </c>
      <c r="G237" s="118" t="n">
        <v>31</v>
      </c>
      <c r="H237" s="119" t="n">
        <v>309969</v>
      </c>
      <c r="I237" s="119" t="n">
        <v>348807</v>
      </c>
      <c r="J237" s="119" t="n">
        <v>268071</v>
      </c>
      <c r="K237" s="117" t="inlineStr">
        <is>
          <t>In Progress</t>
        </is>
      </c>
      <c r="L237" s="140" t="n">
        <v>106</v>
      </c>
      <c r="M237" s="117" t="inlineStr">
        <is>
          <t>Rho Corp</t>
        </is>
      </c>
      <c r="N237" s="117" t="inlineStr">
        <is>
          <t>Enterprise (&gt;$200K)</t>
        </is>
      </c>
      <c r="O237" s="117" t="inlineStr">
        <is>
          <t>Partner</t>
        </is>
      </c>
      <c r="P237" s="119">
        <f>H237*0.08</f>
        <v/>
      </c>
      <c r="Q237" s="139" t="n">
        <v>0.06</v>
      </c>
      <c r="R237" s="117" t="inlineStr">
        <is>
          <t>Q4 deal - Partner channel</t>
        </is>
      </c>
    </row>
    <row r="238" ht="15" customHeight="1" s="77">
      <c r="A238" s="108" t="inlineStr">
        <is>
          <t>2025-03-23</t>
        </is>
      </c>
      <c r="B238" s="108" t="inlineStr">
        <is>
          <t>March</t>
        </is>
      </c>
      <c r="C238" s="108" t="inlineStr">
        <is>
          <t>Amanda Foster</t>
        </is>
      </c>
      <c r="D238" s="108" t="inlineStr">
        <is>
          <t>Central</t>
        </is>
      </c>
      <c r="E238" s="108" t="inlineStr">
        <is>
          <t>Product G</t>
        </is>
      </c>
      <c r="F238" s="108" t="inlineStr">
        <is>
          <t>SMB</t>
        </is>
      </c>
      <c r="G238" s="109" t="n">
        <v>7</v>
      </c>
      <c r="H238" s="110" t="n">
        <v>139993</v>
      </c>
      <c r="I238" s="110" t="n">
        <v>166146</v>
      </c>
      <c r="J238" s="110" t="n">
        <v>136414</v>
      </c>
      <c r="K238" s="108" t="inlineStr">
        <is>
          <t>In Progress</t>
        </is>
      </c>
      <c r="L238" s="138" t="n">
        <v>44</v>
      </c>
      <c r="M238" s="108" t="inlineStr">
        <is>
          <t>Sigma Inc</t>
        </is>
      </c>
      <c r="N238" s="108" t="inlineStr">
        <is>
          <t>Large ($50K-$200K)</t>
        </is>
      </c>
      <c r="O238" s="108" t="inlineStr">
        <is>
          <t>Email Campaign</t>
        </is>
      </c>
      <c r="P238" s="110">
        <f>H238*0.08</f>
        <v/>
      </c>
      <c r="Q238" s="137" t="n">
        <v>0.15</v>
      </c>
      <c r="R238" s="108" t="inlineStr">
        <is>
          <t>Q1 deal - Email Campaign channel</t>
        </is>
      </c>
    </row>
    <row r="239" ht="15" customHeight="1" s="77">
      <c r="A239" s="117" t="inlineStr">
        <is>
          <t>2025-07-05</t>
        </is>
      </c>
      <c r="B239" s="117" t="inlineStr">
        <is>
          <t>July</t>
        </is>
      </c>
      <c r="C239" s="117" t="inlineStr">
        <is>
          <t>Robert Taylor</t>
        </is>
      </c>
      <c r="D239" s="117" t="inlineStr">
        <is>
          <t>International</t>
        </is>
      </c>
      <c r="E239" s="117" t="inlineStr">
        <is>
          <t>Product H</t>
        </is>
      </c>
      <c r="F239" s="117" t="inlineStr">
        <is>
          <t>Mid-Market</t>
        </is>
      </c>
      <c r="G239" s="118" t="n">
        <v>12</v>
      </c>
      <c r="H239" s="119" t="n">
        <v>599988</v>
      </c>
      <c r="I239" s="119" t="n">
        <v>671576</v>
      </c>
      <c r="J239" s="119" t="n">
        <v>575399</v>
      </c>
      <c r="K239" s="117" t="inlineStr">
        <is>
          <t>Won</t>
        </is>
      </c>
      <c r="L239" s="140" t="n">
        <v>72</v>
      </c>
      <c r="M239" s="117" t="inlineStr">
        <is>
          <t>Tau LLC</t>
        </is>
      </c>
      <c r="N239" s="117" t="inlineStr">
        <is>
          <t>Enterprise (&gt;$200K)</t>
        </is>
      </c>
      <c r="O239" s="117" t="inlineStr">
        <is>
          <t>Webinar</t>
        </is>
      </c>
      <c r="P239" s="119">
        <f>H239*0.08</f>
        <v/>
      </c>
      <c r="Q239" s="139" t="n">
        <v>0.08</v>
      </c>
      <c r="R239" s="117" t="inlineStr">
        <is>
          <t>Q2 deal - Webinar channel</t>
        </is>
      </c>
    </row>
    <row r="240" ht="15" customHeight="1" s="77">
      <c r="A240" s="108" t="inlineStr">
        <is>
          <t>2025-09-20</t>
        </is>
      </c>
      <c r="B240" s="108" t="inlineStr">
        <is>
          <t>September</t>
        </is>
      </c>
      <c r="C240" s="108" t="inlineStr">
        <is>
          <t>Jennifer Moore</t>
        </is>
      </c>
      <c r="D240" s="108" t="inlineStr">
        <is>
          <t>North</t>
        </is>
      </c>
      <c r="E240" s="108" t="inlineStr">
        <is>
          <t>Product I</t>
        </is>
      </c>
      <c r="F240" s="108" t="inlineStr">
        <is>
          <t>Startup</t>
        </is>
      </c>
      <c r="G240" s="109" t="n">
        <v>34</v>
      </c>
      <c r="H240" s="110" t="n">
        <v>1019966</v>
      </c>
      <c r="I240" s="110" t="n">
        <v>936944</v>
      </c>
      <c r="J240" s="110" t="n">
        <v>1101988</v>
      </c>
      <c r="K240" s="108" t="inlineStr">
        <is>
          <t>Won</t>
        </is>
      </c>
      <c r="L240" s="138" t="n">
        <v>49</v>
      </c>
      <c r="M240" s="108" t="inlineStr">
        <is>
          <t>Upsilon Ltd</t>
        </is>
      </c>
      <c r="N240" s="108" t="inlineStr">
        <is>
          <t>Enterprise (&gt;$200K)</t>
        </is>
      </c>
      <c r="O240" s="108" t="inlineStr">
        <is>
          <t>SEO</t>
        </is>
      </c>
      <c r="P240" s="110">
        <f>H240*0.08</f>
        <v/>
      </c>
      <c r="Q240" s="137" t="n">
        <v>0.11</v>
      </c>
      <c r="R240" s="108" t="inlineStr">
        <is>
          <t>Q3 deal - SEO channel</t>
        </is>
      </c>
    </row>
    <row r="241" ht="15" customHeight="1" s="77">
      <c r="A241" s="117" t="inlineStr">
        <is>
          <t>2025-03-03</t>
        </is>
      </c>
      <c r="B241" s="117" t="inlineStr">
        <is>
          <t>March</t>
        </is>
      </c>
      <c r="C241" s="117" t="inlineStr">
        <is>
          <t>Daniel Jackson</t>
        </is>
      </c>
      <c r="D241" s="117" t="inlineStr">
        <is>
          <t>West</t>
        </is>
      </c>
      <c r="E241" s="117" t="inlineStr">
        <is>
          <t>Product J</t>
        </is>
      </c>
      <c r="F241" s="117" t="inlineStr">
        <is>
          <t>Government</t>
        </is>
      </c>
      <c r="G241" s="118" t="n">
        <v>30</v>
      </c>
      <c r="H241" s="119" t="n">
        <v>749970</v>
      </c>
      <c r="I241" s="119" t="n">
        <v>697817</v>
      </c>
      <c r="J241" s="119" t="n">
        <v>640919</v>
      </c>
      <c r="K241" s="117" t="inlineStr">
        <is>
          <t>Won</t>
        </is>
      </c>
      <c r="L241" s="140" t="n">
        <v>27</v>
      </c>
      <c r="M241" s="117" t="inlineStr">
        <is>
          <t>Phi Co</t>
        </is>
      </c>
      <c r="N241" s="117" t="inlineStr">
        <is>
          <t>Enterprise (&gt;$200K)</t>
        </is>
      </c>
      <c r="O241" s="117" t="inlineStr">
        <is>
          <t>Direct</t>
        </is>
      </c>
      <c r="P241" s="119">
        <f>H241*0.08</f>
        <v/>
      </c>
      <c r="Q241" s="139" t="n">
        <v>0.12</v>
      </c>
      <c r="R241" s="117" t="inlineStr">
        <is>
          <t>Q4 deal - Direct channel</t>
        </is>
      </c>
    </row>
    <row r="242" ht="15" customHeight="1" s="77">
      <c r="A242" s="108" t="inlineStr">
        <is>
          <t>2025-10-12</t>
        </is>
      </c>
      <c r="B242" s="108" t="inlineStr">
        <is>
          <t>October</t>
        </is>
      </c>
      <c r="C242" s="108" t="inlineStr">
        <is>
          <t>Sarah Johnson</t>
        </is>
      </c>
      <c r="D242" s="108" t="inlineStr">
        <is>
          <t>North</t>
        </is>
      </c>
      <c r="E242" s="108" t="inlineStr">
        <is>
          <t>Product A</t>
        </is>
      </c>
      <c r="F242" s="108" t="inlineStr">
        <is>
          <t>Enterprise</t>
        </is>
      </c>
      <c r="G242" s="109" t="n">
        <v>4</v>
      </c>
      <c r="H242" s="110" t="n">
        <v>119996</v>
      </c>
      <c r="I242" s="110" t="n">
        <v>116030</v>
      </c>
      <c r="J242" s="110" t="n">
        <v>107561</v>
      </c>
      <c r="K242" s="108" t="inlineStr">
        <is>
          <t>Won</t>
        </is>
      </c>
      <c r="L242" s="138" t="n">
        <v>86</v>
      </c>
      <c r="M242" s="108" t="inlineStr">
        <is>
          <t>Acme Corp</t>
        </is>
      </c>
      <c r="N242" s="108" t="inlineStr">
        <is>
          <t>Large ($50K-$200K)</t>
        </is>
      </c>
      <c r="O242" s="108" t="inlineStr">
        <is>
          <t>Referral</t>
        </is>
      </c>
      <c r="P242" s="110">
        <f>H242*0.08</f>
        <v/>
      </c>
      <c r="Q242" s="137" t="n">
        <v>0.03</v>
      </c>
      <c r="R242" s="108" t="inlineStr">
        <is>
          <t>Q1 deal - Referral channel</t>
        </is>
      </c>
    </row>
    <row r="243" ht="15" customHeight="1" s="77">
      <c r="A243" s="117" t="inlineStr">
        <is>
          <t>2025-01-05</t>
        </is>
      </c>
      <c r="B243" s="117" t="inlineStr">
        <is>
          <t>January</t>
        </is>
      </c>
      <c r="C243" s="117" t="inlineStr">
        <is>
          <t>Mike Chen</t>
        </is>
      </c>
      <c r="D243" s="117" t="inlineStr">
        <is>
          <t>West</t>
        </is>
      </c>
      <c r="E243" s="117" t="inlineStr">
        <is>
          <t>Product B</t>
        </is>
      </c>
      <c r="F243" s="117" t="inlineStr">
        <is>
          <t>SMB</t>
        </is>
      </c>
      <c r="G243" s="118" t="n">
        <v>1</v>
      </c>
      <c r="H243" s="119" t="n">
        <v>29999</v>
      </c>
      <c r="I243" s="119" t="n">
        <v>28359</v>
      </c>
      <c r="J243" s="119" t="n">
        <v>31595</v>
      </c>
      <c r="K243" s="117" t="inlineStr">
        <is>
          <t>Lost</t>
        </is>
      </c>
      <c r="L243" s="140" t="n">
        <v>53</v>
      </c>
      <c r="M243" s="117" t="inlineStr">
        <is>
          <t>Beta Inc</t>
        </is>
      </c>
      <c r="N243" s="117" t="inlineStr">
        <is>
          <t>Medium ($10K-$50K)</t>
        </is>
      </c>
      <c r="O243" s="117" t="inlineStr">
        <is>
          <t>Cold Call</t>
        </is>
      </c>
      <c r="P243" s="119">
        <f>H243*0.08</f>
        <v/>
      </c>
      <c r="Q243" s="139" t="n">
        <v>0.03</v>
      </c>
      <c r="R243" s="117" t="inlineStr">
        <is>
          <t>Q2 deal - Cold Call channel</t>
        </is>
      </c>
    </row>
    <row r="244" ht="15" customHeight="1" s="77">
      <c r="A244" s="108" t="inlineStr">
        <is>
          <t>2025-09-12</t>
        </is>
      </c>
      <c r="B244" s="108" t="inlineStr">
        <is>
          <t>September</t>
        </is>
      </c>
      <c r="C244" s="108" t="inlineStr">
        <is>
          <t>Priya Sharma</t>
        </is>
      </c>
      <c r="D244" s="108" t="inlineStr">
        <is>
          <t>East</t>
        </is>
      </c>
      <c r="E244" s="108" t="inlineStr">
        <is>
          <t>Product C</t>
        </is>
      </c>
      <c r="F244" s="108" t="inlineStr">
        <is>
          <t>Mid-Market</t>
        </is>
      </c>
      <c r="G244" s="109" t="n">
        <v>9</v>
      </c>
      <c r="H244" s="110" t="n">
        <v>224991</v>
      </c>
      <c r="I244" s="110" t="n">
        <v>221044</v>
      </c>
      <c r="J244" s="110" t="n">
        <v>237369</v>
      </c>
      <c r="K244" s="108" t="inlineStr">
        <is>
          <t>In Progress</t>
        </is>
      </c>
      <c r="L244" s="138" t="n">
        <v>10</v>
      </c>
      <c r="M244" s="108" t="inlineStr">
        <is>
          <t>Gamma LLC</t>
        </is>
      </c>
      <c r="N244" s="108" t="inlineStr">
        <is>
          <t>Enterprise (&gt;$200K)</t>
        </is>
      </c>
      <c r="O244" s="108" t="inlineStr">
        <is>
          <t>LinkedIn</t>
        </is>
      </c>
      <c r="P244" s="110">
        <f>H244*0.08</f>
        <v/>
      </c>
      <c r="Q244" s="137" t="n">
        <v>0.1</v>
      </c>
      <c r="R244" s="108" t="inlineStr">
        <is>
          <t>Q3 deal - LinkedIn channel</t>
        </is>
      </c>
    </row>
    <row r="245" ht="15" customHeight="1" s="77">
      <c r="A245" s="117" t="inlineStr">
        <is>
          <t>2025-08-26</t>
        </is>
      </c>
      <c r="B245" s="117" t="inlineStr">
        <is>
          <t>August</t>
        </is>
      </c>
      <c r="C245" s="117" t="inlineStr">
        <is>
          <t>James Williams</t>
        </is>
      </c>
      <c r="D245" s="117" t="inlineStr">
        <is>
          <t>South</t>
        </is>
      </c>
      <c r="E245" s="117" t="inlineStr">
        <is>
          <t>Product D</t>
        </is>
      </c>
      <c r="F245" s="117" t="inlineStr">
        <is>
          <t>Startup</t>
        </is>
      </c>
      <c r="G245" s="118" t="n">
        <v>28</v>
      </c>
      <c r="H245" s="119" t="n">
        <v>839972</v>
      </c>
      <c r="I245" s="119" t="n">
        <v>799896</v>
      </c>
      <c r="J245" s="119" t="n">
        <v>819854</v>
      </c>
      <c r="K245" s="117" t="inlineStr">
        <is>
          <t>In Progress</t>
        </is>
      </c>
      <c r="L245" s="140" t="n">
        <v>41</v>
      </c>
      <c r="M245" s="117" t="inlineStr">
        <is>
          <t>Delta Ltd</t>
        </is>
      </c>
      <c r="N245" s="117" t="inlineStr">
        <is>
          <t>Enterprise (&gt;$200K)</t>
        </is>
      </c>
      <c r="O245" s="117" t="inlineStr">
        <is>
          <t>Trade Show</t>
        </is>
      </c>
      <c r="P245" s="119">
        <f>H245*0.08</f>
        <v/>
      </c>
      <c r="Q245" s="139" t="n">
        <v>0.15</v>
      </c>
      <c r="R245" s="117" t="inlineStr">
        <is>
          <t>Q4 deal - Trade Show channel</t>
        </is>
      </c>
    </row>
    <row r="246" ht="15" customHeight="1" s="77">
      <c r="A246" s="108" t="inlineStr">
        <is>
          <t>2025-04-09</t>
        </is>
      </c>
      <c r="B246" s="108" t="inlineStr">
        <is>
          <t>April</t>
        </is>
      </c>
      <c r="C246" s="108" t="inlineStr">
        <is>
          <t>Emily Davis</t>
        </is>
      </c>
      <c r="D246" s="108" t="inlineStr">
        <is>
          <t>Central</t>
        </is>
      </c>
      <c r="E246" s="108" t="inlineStr">
        <is>
          <t>Product E</t>
        </is>
      </c>
      <c r="F246" s="108" t="inlineStr">
        <is>
          <t>Government</t>
        </is>
      </c>
      <c r="G246" s="109" t="n">
        <v>17</v>
      </c>
      <c r="H246" s="110" t="n">
        <v>135983</v>
      </c>
      <c r="I246" s="110" t="n">
        <v>143850</v>
      </c>
      <c r="J246" s="110" t="n">
        <v>122314</v>
      </c>
      <c r="K246" s="108" t="inlineStr">
        <is>
          <t>Won</t>
        </is>
      </c>
      <c r="L246" s="138" t="n">
        <v>112</v>
      </c>
      <c r="M246" s="108" t="inlineStr">
        <is>
          <t>Epsilon Co</t>
        </is>
      </c>
      <c r="N246" s="108" t="inlineStr">
        <is>
          <t>Large ($50K-$200K)</t>
        </is>
      </c>
      <c r="O246" s="108" t="inlineStr">
        <is>
          <t>Website</t>
        </is>
      </c>
      <c r="P246" s="110">
        <f>H246*0.08</f>
        <v/>
      </c>
      <c r="Q246" s="137" t="n">
        <v>0.06</v>
      </c>
      <c r="R246" s="108" t="inlineStr">
        <is>
          <t>Q1 deal - Website channel</t>
        </is>
      </c>
    </row>
    <row r="247" ht="15" customHeight="1" s="77">
      <c r="A247" s="117" t="inlineStr">
        <is>
          <t>2025-02-25</t>
        </is>
      </c>
      <c r="B247" s="117" t="inlineStr">
        <is>
          <t>February</t>
        </is>
      </c>
      <c r="C247" s="117" t="inlineStr">
        <is>
          <t>Carlos Ruiz</t>
        </is>
      </c>
      <c r="D247" s="117" t="inlineStr">
        <is>
          <t>International</t>
        </is>
      </c>
      <c r="E247" s="117" t="inlineStr">
        <is>
          <t>Product F</t>
        </is>
      </c>
      <c r="F247" s="117" t="inlineStr">
        <is>
          <t>Enterprise</t>
        </is>
      </c>
      <c r="G247" s="118" t="n">
        <v>1</v>
      </c>
      <c r="H247" s="119" t="n">
        <v>14999</v>
      </c>
      <c r="I247" s="119" t="n">
        <v>13724</v>
      </c>
      <c r="J247" s="119" t="n">
        <v>15228</v>
      </c>
      <c r="K247" s="117" t="inlineStr">
        <is>
          <t>Won</t>
        </is>
      </c>
      <c r="L247" s="140" t="n">
        <v>45</v>
      </c>
      <c r="M247" s="117" t="inlineStr">
        <is>
          <t>Zeta Corp</t>
        </is>
      </c>
      <c r="N247" s="117" t="inlineStr">
        <is>
          <t>Medium ($10K-$50K)</t>
        </is>
      </c>
      <c r="O247" s="117" t="inlineStr">
        <is>
          <t>Partner</t>
        </is>
      </c>
      <c r="P247" s="119">
        <f>H247*0.08</f>
        <v/>
      </c>
      <c r="Q247" s="139" t="n">
        <v>0.07000000000000001</v>
      </c>
      <c r="R247" s="117" t="inlineStr">
        <is>
          <t>Q2 deal - Partner channel</t>
        </is>
      </c>
    </row>
    <row r="248" ht="15" customHeight="1" s="77">
      <c r="A248" s="108" t="inlineStr">
        <is>
          <t>2025-10-28</t>
        </is>
      </c>
      <c r="B248" s="108" t="inlineStr">
        <is>
          <t>October</t>
        </is>
      </c>
      <c r="C248" s="108" t="inlineStr">
        <is>
          <t>Lisa Park</t>
        </is>
      </c>
      <c r="D248" s="108" t="inlineStr">
        <is>
          <t>North</t>
        </is>
      </c>
      <c r="E248" s="108" t="inlineStr">
        <is>
          <t>Product G</t>
        </is>
      </c>
      <c r="F248" s="108" t="inlineStr">
        <is>
          <t>SMB</t>
        </is>
      </c>
      <c r="G248" s="109" t="n">
        <v>33</v>
      </c>
      <c r="H248" s="110" t="n">
        <v>1649967</v>
      </c>
      <c r="I248" s="110" t="n">
        <v>1773371</v>
      </c>
      <c r="J248" s="110" t="n">
        <v>1693382</v>
      </c>
      <c r="K248" s="108" t="inlineStr">
        <is>
          <t>Won</t>
        </is>
      </c>
      <c r="L248" s="138" t="n">
        <v>69</v>
      </c>
      <c r="M248" s="108" t="inlineStr">
        <is>
          <t>Eta Inc</t>
        </is>
      </c>
      <c r="N248" s="108" t="inlineStr">
        <is>
          <t>Enterprise (&gt;$200K)</t>
        </is>
      </c>
      <c r="O248" s="108" t="inlineStr">
        <is>
          <t>Email Campaign</t>
        </is>
      </c>
      <c r="P248" s="110">
        <f>H248*0.08</f>
        <v/>
      </c>
      <c r="Q248" s="137" t="n">
        <v>0</v>
      </c>
      <c r="R248" s="108" t="inlineStr">
        <is>
          <t>Q3 deal - Email Campaign channel</t>
        </is>
      </c>
    </row>
    <row r="249" ht="15" customHeight="1" s="77">
      <c r="A249" s="117" t="inlineStr">
        <is>
          <t>2025-06-30</t>
        </is>
      </c>
      <c r="B249" s="117" t="inlineStr">
        <is>
          <t>June</t>
        </is>
      </c>
      <c r="C249" s="117" t="inlineStr">
        <is>
          <t>Tom Brown</t>
        </is>
      </c>
      <c r="D249" s="117" t="inlineStr">
        <is>
          <t>West</t>
        </is>
      </c>
      <c r="E249" s="117" t="inlineStr">
        <is>
          <t>Product H</t>
        </is>
      </c>
      <c r="F249" s="117" t="inlineStr">
        <is>
          <t>Mid-Market</t>
        </is>
      </c>
      <c r="G249" s="118" t="n">
        <v>22</v>
      </c>
      <c r="H249" s="119" t="n">
        <v>175978</v>
      </c>
      <c r="I249" s="119" t="n">
        <v>182549</v>
      </c>
      <c r="J249" s="119" t="n">
        <v>173599</v>
      </c>
      <c r="K249" s="117" t="inlineStr">
        <is>
          <t>Won</t>
        </is>
      </c>
      <c r="L249" s="140" t="n">
        <v>41</v>
      </c>
      <c r="M249" s="117" t="inlineStr">
        <is>
          <t>Theta LLC</t>
        </is>
      </c>
      <c r="N249" s="117" t="inlineStr">
        <is>
          <t>Large ($50K-$200K)</t>
        </is>
      </c>
      <c r="O249" s="117" t="inlineStr">
        <is>
          <t>Webinar</t>
        </is>
      </c>
      <c r="P249" s="119">
        <f>H249*0.08</f>
        <v/>
      </c>
      <c r="Q249" s="139" t="n">
        <v>0.11</v>
      </c>
      <c r="R249" s="117" t="inlineStr">
        <is>
          <t>Q4 deal - Webinar channel</t>
        </is>
      </c>
    </row>
    <row r="250" ht="15" customHeight="1" s="77">
      <c r="A250" s="108" t="inlineStr">
        <is>
          <t>2025-10-12</t>
        </is>
      </c>
      <c r="B250" s="108" t="inlineStr">
        <is>
          <t>October</t>
        </is>
      </c>
      <c r="C250" s="108" t="inlineStr">
        <is>
          <t>Anna Schmidt</t>
        </is>
      </c>
      <c r="D250" s="108" t="inlineStr">
        <is>
          <t>East</t>
        </is>
      </c>
      <c r="E250" s="108" t="inlineStr">
        <is>
          <t>Product I</t>
        </is>
      </c>
      <c r="F250" s="108" t="inlineStr">
        <is>
          <t>Startup</t>
        </is>
      </c>
      <c r="G250" s="109" t="n">
        <v>17</v>
      </c>
      <c r="H250" s="110" t="n">
        <v>84983</v>
      </c>
      <c r="I250" s="110" t="n">
        <v>91535</v>
      </c>
      <c r="J250" s="110" t="n">
        <v>74799</v>
      </c>
      <c r="K250" s="108" t="inlineStr">
        <is>
          <t>Lost</t>
        </is>
      </c>
      <c r="L250" s="138" t="n">
        <v>120</v>
      </c>
      <c r="M250" s="108" t="inlineStr">
        <is>
          <t>Iota Ltd</t>
        </is>
      </c>
      <c r="N250" s="108" t="inlineStr">
        <is>
          <t>Large ($50K-$200K)</t>
        </is>
      </c>
      <c r="O250" s="108" t="inlineStr">
        <is>
          <t>SEO</t>
        </is>
      </c>
      <c r="P250" s="110">
        <f>H250*0.08</f>
        <v/>
      </c>
      <c r="Q250" s="137" t="n">
        <v>0.03</v>
      </c>
      <c r="R250" s="108" t="inlineStr">
        <is>
          <t>Q1 deal - SEO channel</t>
        </is>
      </c>
    </row>
    <row r="251" ht="15" customHeight="1" s="77">
      <c r="A251" s="117" t="inlineStr">
        <is>
          <t>2025-08-09</t>
        </is>
      </c>
      <c r="B251" s="117" t="inlineStr">
        <is>
          <t>August</t>
        </is>
      </c>
      <c r="C251" s="117" t="inlineStr">
        <is>
          <t>David Kim</t>
        </is>
      </c>
      <c r="D251" s="117" t="inlineStr">
        <is>
          <t>South</t>
        </is>
      </c>
      <c r="E251" s="117" t="inlineStr">
        <is>
          <t>Product J</t>
        </is>
      </c>
      <c r="F251" s="117" t="inlineStr">
        <is>
          <t>Government</t>
        </is>
      </c>
      <c r="G251" s="118" t="n">
        <v>1</v>
      </c>
      <c r="H251" s="119" t="n">
        <v>24999</v>
      </c>
      <c r="I251" s="119" t="n">
        <v>22840</v>
      </c>
      <c r="J251" s="119" t="n">
        <v>22753</v>
      </c>
      <c r="K251" s="117" t="inlineStr">
        <is>
          <t>In Progress</t>
        </is>
      </c>
      <c r="L251" s="140" t="n">
        <v>108</v>
      </c>
      <c r="M251" s="117" t="inlineStr">
        <is>
          <t>Kappa Co</t>
        </is>
      </c>
      <c r="N251" s="117" t="inlineStr">
        <is>
          <t>Medium ($10K-$50K)</t>
        </is>
      </c>
      <c r="O251" s="117" t="inlineStr">
        <is>
          <t>Direct</t>
        </is>
      </c>
      <c r="P251" s="119">
        <f>H251*0.08</f>
        <v/>
      </c>
      <c r="Q251" s="139" t="n">
        <v>0.06</v>
      </c>
      <c r="R251" s="117" t="inlineStr">
        <is>
          <t>Q2 deal - Direct channel</t>
        </is>
      </c>
    </row>
    <row r="252" ht="15" customHeight="1" s="77">
      <c r="A252" s="108" t="inlineStr">
        <is>
          <t>2025-05-30</t>
        </is>
      </c>
      <c r="B252" s="108" t="inlineStr">
        <is>
          <t>May</t>
        </is>
      </c>
      <c r="C252" s="108" t="inlineStr">
        <is>
          <t>Rachel Green</t>
        </is>
      </c>
      <c r="D252" s="108" t="inlineStr">
        <is>
          <t>Central</t>
        </is>
      </c>
      <c r="E252" s="108" t="inlineStr">
        <is>
          <t>Product A</t>
        </is>
      </c>
      <c r="F252" s="108" t="inlineStr">
        <is>
          <t>Enterprise</t>
        </is>
      </c>
      <c r="G252" s="109" t="n">
        <v>14</v>
      </c>
      <c r="H252" s="110" t="n">
        <v>699986</v>
      </c>
      <c r="I252" s="110" t="n">
        <v>747871</v>
      </c>
      <c r="J252" s="110" t="n">
        <v>662129</v>
      </c>
      <c r="K252" s="108" t="inlineStr">
        <is>
          <t>In Progress</t>
        </is>
      </c>
      <c r="L252" s="138" t="n">
        <v>106</v>
      </c>
      <c r="M252" s="108" t="inlineStr">
        <is>
          <t>Lambda Corp</t>
        </is>
      </c>
      <c r="N252" s="108" t="inlineStr">
        <is>
          <t>Enterprise (&gt;$200K)</t>
        </is>
      </c>
      <c r="O252" s="108" t="inlineStr">
        <is>
          <t>Referral</t>
        </is>
      </c>
      <c r="P252" s="110">
        <f>H252*0.08</f>
        <v/>
      </c>
      <c r="Q252" s="137" t="n">
        <v>0.02</v>
      </c>
      <c r="R252" s="108" t="inlineStr">
        <is>
          <t>Q3 deal - Referral channel</t>
        </is>
      </c>
    </row>
    <row r="253" ht="15" customHeight="1" s="77">
      <c r="A253" s="117" t="inlineStr">
        <is>
          <t>2025-03-13</t>
        </is>
      </c>
      <c r="B253" s="117" t="inlineStr">
        <is>
          <t>March</t>
        </is>
      </c>
      <c r="C253" s="117" t="inlineStr">
        <is>
          <t>Mark Thompson</t>
        </is>
      </c>
      <c r="D253" s="117" t="inlineStr">
        <is>
          <t>International</t>
        </is>
      </c>
      <c r="E253" s="117" t="inlineStr">
        <is>
          <t>Product B</t>
        </is>
      </c>
      <c r="F253" s="117" t="inlineStr">
        <is>
          <t>SMB</t>
        </is>
      </c>
      <c r="G253" s="118" t="n">
        <v>22</v>
      </c>
      <c r="H253" s="119" t="n">
        <v>329978</v>
      </c>
      <c r="I253" s="119" t="n">
        <v>298494</v>
      </c>
      <c r="J253" s="119" t="n">
        <v>337667</v>
      </c>
      <c r="K253" s="117" t="inlineStr">
        <is>
          <t>Won</t>
        </is>
      </c>
      <c r="L253" s="140" t="n">
        <v>94</v>
      </c>
      <c r="M253" s="117" t="inlineStr">
        <is>
          <t>Mu Inc</t>
        </is>
      </c>
      <c r="N253" s="117" t="inlineStr">
        <is>
          <t>Enterprise (&gt;$200K)</t>
        </is>
      </c>
      <c r="O253" s="117" t="inlineStr">
        <is>
          <t>Cold Call</t>
        </is>
      </c>
      <c r="P253" s="119">
        <f>H253*0.08</f>
        <v/>
      </c>
      <c r="Q253" s="139" t="n">
        <v>0.05</v>
      </c>
      <c r="R253" s="117" t="inlineStr">
        <is>
          <t>Q4 deal - Cold Call channel</t>
        </is>
      </c>
    </row>
    <row r="254" ht="15" customHeight="1" s="77">
      <c r="A254" s="108" t="inlineStr">
        <is>
          <t>2025-03-01</t>
        </is>
      </c>
      <c r="B254" s="108" t="inlineStr">
        <is>
          <t>March</t>
        </is>
      </c>
      <c r="C254" s="108" t="inlineStr">
        <is>
          <t>Susan Lee</t>
        </is>
      </c>
      <c r="D254" s="108" t="inlineStr">
        <is>
          <t>North</t>
        </is>
      </c>
      <c r="E254" s="108" t="inlineStr">
        <is>
          <t>Product C</t>
        </is>
      </c>
      <c r="F254" s="108" t="inlineStr">
        <is>
          <t>Mid-Market</t>
        </is>
      </c>
      <c r="G254" s="109" t="n">
        <v>23</v>
      </c>
      <c r="H254" s="110" t="n">
        <v>344977</v>
      </c>
      <c r="I254" s="110" t="n">
        <v>385244</v>
      </c>
      <c r="J254" s="110" t="n">
        <v>321725</v>
      </c>
      <c r="K254" s="108" t="inlineStr">
        <is>
          <t>Won</t>
        </is>
      </c>
      <c r="L254" s="138" t="n">
        <v>13</v>
      </c>
      <c r="M254" s="108" t="inlineStr">
        <is>
          <t>Nu LLC</t>
        </is>
      </c>
      <c r="N254" s="108" t="inlineStr">
        <is>
          <t>Enterprise (&gt;$200K)</t>
        </is>
      </c>
      <c r="O254" s="108" t="inlineStr">
        <is>
          <t>LinkedIn</t>
        </is>
      </c>
      <c r="P254" s="110">
        <f>H254*0.08</f>
        <v/>
      </c>
      <c r="Q254" s="137" t="n">
        <v>0.08</v>
      </c>
      <c r="R254" s="108" t="inlineStr">
        <is>
          <t>Q1 deal - LinkedIn channel</t>
        </is>
      </c>
    </row>
    <row r="255" ht="15" customHeight="1" s="77">
      <c r="A255" s="117" t="inlineStr">
        <is>
          <t>2025-12-06</t>
        </is>
      </c>
      <c r="B255" s="117" t="inlineStr">
        <is>
          <t>December</t>
        </is>
      </c>
      <c r="C255" s="117" t="inlineStr">
        <is>
          <t>Kevin Martin</t>
        </is>
      </c>
      <c r="D255" s="117" t="inlineStr">
        <is>
          <t>West</t>
        </is>
      </c>
      <c r="E255" s="117" t="inlineStr">
        <is>
          <t>Product D</t>
        </is>
      </c>
      <c r="F255" s="117" t="inlineStr">
        <is>
          <t>Startup</t>
        </is>
      </c>
      <c r="G255" s="118" t="n">
        <v>38</v>
      </c>
      <c r="H255" s="119" t="n">
        <v>189962</v>
      </c>
      <c r="I255" s="119" t="n">
        <v>172976</v>
      </c>
      <c r="J255" s="119" t="n">
        <v>184012</v>
      </c>
      <c r="K255" s="117" t="inlineStr">
        <is>
          <t>Won</t>
        </is>
      </c>
      <c r="L255" s="140" t="n">
        <v>104</v>
      </c>
      <c r="M255" s="117" t="inlineStr">
        <is>
          <t>Xi Ltd</t>
        </is>
      </c>
      <c r="N255" s="117" t="inlineStr">
        <is>
          <t>Large ($50K-$200K)</t>
        </is>
      </c>
      <c r="O255" s="117" t="inlineStr">
        <is>
          <t>Trade Show</t>
        </is>
      </c>
      <c r="P255" s="119">
        <f>H255*0.08</f>
        <v/>
      </c>
      <c r="Q255" s="139" t="n">
        <v>0.07000000000000001</v>
      </c>
      <c r="R255" s="117" t="inlineStr">
        <is>
          <t>Q2 deal - Trade Show channel</t>
        </is>
      </c>
    </row>
    <row r="256" ht="15" customHeight="1" s="77">
      <c r="A256" s="108" t="inlineStr">
        <is>
          <t>2025-04-23</t>
        </is>
      </c>
      <c r="B256" s="108" t="inlineStr">
        <is>
          <t>April</t>
        </is>
      </c>
      <c r="C256" s="108" t="inlineStr">
        <is>
          <t>Nina Patel</t>
        </is>
      </c>
      <c r="D256" s="108" t="inlineStr">
        <is>
          <t>East</t>
        </is>
      </c>
      <c r="E256" s="108" t="inlineStr">
        <is>
          <t>Product E</t>
        </is>
      </c>
      <c r="F256" s="108" t="inlineStr">
        <is>
          <t>Government</t>
        </is>
      </c>
      <c r="G256" s="109" t="n">
        <v>40</v>
      </c>
      <c r="H256" s="110" t="n">
        <v>1199960</v>
      </c>
      <c r="I256" s="110" t="n">
        <v>1401186</v>
      </c>
      <c r="J256" s="110" t="n">
        <v>1267668</v>
      </c>
      <c r="K256" s="108" t="inlineStr">
        <is>
          <t>Won</t>
        </is>
      </c>
      <c r="L256" s="138" t="n">
        <v>96</v>
      </c>
      <c r="M256" s="108" t="inlineStr">
        <is>
          <t>Pi Co</t>
        </is>
      </c>
      <c r="N256" s="108" t="inlineStr">
        <is>
          <t>Enterprise (&gt;$200K)</t>
        </is>
      </c>
      <c r="O256" s="108" t="inlineStr">
        <is>
          <t>Website</t>
        </is>
      </c>
      <c r="P256" s="110">
        <f>H256*0.08</f>
        <v/>
      </c>
      <c r="Q256" s="137" t="n">
        <v>0.08</v>
      </c>
      <c r="R256" s="108" t="inlineStr">
        <is>
          <t>Q3 deal - Website channel</t>
        </is>
      </c>
    </row>
    <row r="257" ht="15" customHeight="1" s="77">
      <c r="A257" s="117" t="inlineStr">
        <is>
          <t>2025-11-29</t>
        </is>
      </c>
      <c r="B257" s="117" t="inlineStr">
        <is>
          <t>November</t>
        </is>
      </c>
      <c r="C257" s="117" t="inlineStr">
        <is>
          <t>Chris Wilson</t>
        </is>
      </c>
      <c r="D257" s="117" t="inlineStr">
        <is>
          <t>South</t>
        </is>
      </c>
      <c r="E257" s="117" t="inlineStr">
        <is>
          <t>Product F</t>
        </is>
      </c>
      <c r="F257" s="117" t="inlineStr">
        <is>
          <t>Enterprise</t>
        </is>
      </c>
      <c r="G257" s="118" t="n">
        <v>36</v>
      </c>
      <c r="H257" s="119" t="n">
        <v>359964</v>
      </c>
      <c r="I257" s="119" t="n">
        <v>325044</v>
      </c>
      <c r="J257" s="119" t="n">
        <v>369463</v>
      </c>
      <c r="K257" s="117" t="inlineStr">
        <is>
          <t>Lost</t>
        </is>
      </c>
      <c r="L257" s="140" t="n">
        <v>114</v>
      </c>
      <c r="M257" s="117" t="inlineStr">
        <is>
          <t>Rho Corp</t>
        </is>
      </c>
      <c r="N257" s="117" t="inlineStr">
        <is>
          <t>Enterprise (&gt;$200K)</t>
        </is>
      </c>
      <c r="O257" s="117" t="inlineStr">
        <is>
          <t>Partner</t>
        </is>
      </c>
      <c r="P257" s="119">
        <f>H257*0.08</f>
        <v/>
      </c>
      <c r="Q257" s="139" t="n">
        <v>0.07000000000000001</v>
      </c>
      <c r="R257" s="117" t="inlineStr">
        <is>
          <t>Q4 deal - Partner channel</t>
        </is>
      </c>
    </row>
    <row r="258" ht="15" customHeight="1" s="77">
      <c r="A258" s="108" t="inlineStr">
        <is>
          <t>2025-03-22</t>
        </is>
      </c>
      <c r="B258" s="108" t="inlineStr">
        <is>
          <t>March</t>
        </is>
      </c>
      <c r="C258" s="108" t="inlineStr">
        <is>
          <t>Amanda Foster</t>
        </is>
      </c>
      <c r="D258" s="108" t="inlineStr">
        <is>
          <t>Central</t>
        </is>
      </c>
      <c r="E258" s="108" t="inlineStr">
        <is>
          <t>Product G</t>
        </is>
      </c>
      <c r="F258" s="108" t="inlineStr">
        <is>
          <t>SMB</t>
        </is>
      </c>
      <c r="G258" s="109" t="n">
        <v>39</v>
      </c>
      <c r="H258" s="110" t="n">
        <v>584961</v>
      </c>
      <c r="I258" s="110" t="n">
        <v>701254</v>
      </c>
      <c r="J258" s="110" t="n">
        <v>600530</v>
      </c>
      <c r="K258" s="108" t="inlineStr">
        <is>
          <t>In Progress</t>
        </is>
      </c>
      <c r="L258" s="138" t="n">
        <v>85</v>
      </c>
      <c r="M258" s="108" t="inlineStr">
        <is>
          <t>Sigma Inc</t>
        </is>
      </c>
      <c r="N258" s="108" t="inlineStr">
        <is>
          <t>Enterprise (&gt;$200K)</t>
        </is>
      </c>
      <c r="O258" s="108" t="inlineStr">
        <is>
          <t>Email Campaign</t>
        </is>
      </c>
      <c r="P258" s="110">
        <f>H258*0.08</f>
        <v/>
      </c>
      <c r="Q258" s="137" t="n">
        <v>0.05</v>
      </c>
      <c r="R258" s="108" t="inlineStr">
        <is>
          <t>Q1 deal - Email Campaign channel</t>
        </is>
      </c>
    </row>
    <row r="259" ht="15" customHeight="1" s="77">
      <c r="A259" s="117" t="inlineStr">
        <is>
          <t>2025-05-23</t>
        </is>
      </c>
      <c r="B259" s="117" t="inlineStr">
        <is>
          <t>May</t>
        </is>
      </c>
      <c r="C259" s="117" t="inlineStr">
        <is>
          <t>Robert Taylor</t>
        </is>
      </c>
      <c r="D259" s="117" t="inlineStr">
        <is>
          <t>International</t>
        </is>
      </c>
      <c r="E259" s="117" t="inlineStr">
        <is>
          <t>Product H</t>
        </is>
      </c>
      <c r="F259" s="117" t="inlineStr">
        <is>
          <t>Mid-Market</t>
        </is>
      </c>
      <c r="G259" s="118" t="n">
        <v>28</v>
      </c>
      <c r="H259" s="119" t="n">
        <v>1399972</v>
      </c>
      <c r="I259" s="119" t="n">
        <v>1335956</v>
      </c>
      <c r="J259" s="119" t="n">
        <v>1531862</v>
      </c>
      <c r="K259" s="117" t="inlineStr">
        <is>
          <t>In Progress</t>
        </is>
      </c>
      <c r="L259" s="140" t="n">
        <v>95</v>
      </c>
      <c r="M259" s="117" t="inlineStr">
        <is>
          <t>Tau LLC</t>
        </is>
      </c>
      <c r="N259" s="117" t="inlineStr">
        <is>
          <t>Enterprise (&gt;$200K)</t>
        </is>
      </c>
      <c r="O259" s="117" t="inlineStr">
        <is>
          <t>Webinar</t>
        </is>
      </c>
      <c r="P259" s="119">
        <f>H259*0.08</f>
        <v/>
      </c>
      <c r="Q259" s="139" t="n">
        <v>0.05</v>
      </c>
      <c r="R259" s="117" t="inlineStr">
        <is>
          <t>Q2 deal - Webinar channel</t>
        </is>
      </c>
    </row>
    <row r="260" ht="15" customHeight="1" s="77">
      <c r="A260" s="108" t="inlineStr">
        <is>
          <t>2025-10-15</t>
        </is>
      </c>
      <c r="B260" s="108" t="inlineStr">
        <is>
          <t>October</t>
        </is>
      </c>
      <c r="C260" s="108" t="inlineStr">
        <is>
          <t>Jennifer Moore</t>
        </is>
      </c>
      <c r="D260" s="108" t="inlineStr">
        <is>
          <t>North</t>
        </is>
      </c>
      <c r="E260" s="108" t="inlineStr">
        <is>
          <t>Product I</t>
        </is>
      </c>
      <c r="F260" s="108" t="inlineStr">
        <is>
          <t>Startup</t>
        </is>
      </c>
      <c r="G260" s="109" t="n">
        <v>28</v>
      </c>
      <c r="H260" s="110" t="n">
        <v>699972</v>
      </c>
      <c r="I260" s="110" t="n">
        <v>830996</v>
      </c>
      <c r="J260" s="110" t="n">
        <v>647168</v>
      </c>
      <c r="K260" s="108" t="inlineStr">
        <is>
          <t>Won</t>
        </is>
      </c>
      <c r="L260" s="138" t="n">
        <v>107</v>
      </c>
      <c r="M260" s="108" t="inlineStr">
        <is>
          <t>Upsilon Ltd</t>
        </is>
      </c>
      <c r="N260" s="108" t="inlineStr">
        <is>
          <t>Enterprise (&gt;$200K)</t>
        </is>
      </c>
      <c r="O260" s="108" t="inlineStr">
        <is>
          <t>SEO</t>
        </is>
      </c>
      <c r="P260" s="110">
        <f>H260*0.08</f>
        <v/>
      </c>
      <c r="Q260" s="137" t="n">
        <v>0.15</v>
      </c>
      <c r="R260" s="108" t="inlineStr">
        <is>
          <t>Q3 deal - SEO channel</t>
        </is>
      </c>
    </row>
    <row r="261" ht="15" customHeight="1" s="77">
      <c r="A261" s="117" t="inlineStr">
        <is>
          <t>2025-03-17</t>
        </is>
      </c>
      <c r="B261" s="117" t="inlineStr">
        <is>
          <t>March</t>
        </is>
      </c>
      <c r="C261" s="117" t="inlineStr">
        <is>
          <t>Daniel Jackson</t>
        </is>
      </c>
      <c r="D261" s="117" t="inlineStr">
        <is>
          <t>West</t>
        </is>
      </c>
      <c r="E261" s="117" t="inlineStr">
        <is>
          <t>Product J</t>
        </is>
      </c>
      <c r="F261" s="117" t="inlineStr">
        <is>
          <t>Government</t>
        </is>
      </c>
      <c r="G261" s="118" t="n">
        <v>18</v>
      </c>
      <c r="H261" s="119" t="n">
        <v>89982</v>
      </c>
      <c r="I261" s="119" t="n">
        <v>107708</v>
      </c>
      <c r="J261" s="119" t="n">
        <v>96640</v>
      </c>
      <c r="K261" s="117" t="inlineStr">
        <is>
          <t>Won</t>
        </is>
      </c>
      <c r="L261" s="140" t="n">
        <v>108</v>
      </c>
      <c r="M261" s="117" t="inlineStr">
        <is>
          <t>Phi Co</t>
        </is>
      </c>
      <c r="N261" s="117" t="inlineStr">
        <is>
          <t>Large ($50K-$200K)</t>
        </is>
      </c>
      <c r="O261" s="117" t="inlineStr">
        <is>
          <t>Direct</t>
        </is>
      </c>
      <c r="P261" s="119">
        <f>H261*0.08</f>
        <v/>
      </c>
      <c r="Q261" s="139" t="n">
        <v>0.14</v>
      </c>
      <c r="R261" s="117" t="inlineStr">
        <is>
          <t>Q4 deal - Direct channel</t>
        </is>
      </c>
    </row>
    <row r="262" ht="15" customHeight="1" s="77">
      <c r="A262" s="108" t="inlineStr">
        <is>
          <t>2025-08-29</t>
        </is>
      </c>
      <c r="B262" s="108" t="inlineStr">
        <is>
          <t>August</t>
        </is>
      </c>
      <c r="C262" s="108" t="inlineStr">
        <is>
          <t>Sarah Johnson</t>
        </is>
      </c>
      <c r="D262" s="108" t="inlineStr">
        <is>
          <t>North</t>
        </is>
      </c>
      <c r="E262" s="108" t="inlineStr">
        <is>
          <t>Product A</t>
        </is>
      </c>
      <c r="F262" s="108" t="inlineStr">
        <is>
          <t>Enterprise</t>
        </is>
      </c>
      <c r="G262" s="109" t="n">
        <v>45</v>
      </c>
      <c r="H262" s="110" t="n">
        <v>224955</v>
      </c>
      <c r="I262" s="110" t="n">
        <v>225275</v>
      </c>
      <c r="J262" s="110" t="n">
        <v>245153</v>
      </c>
      <c r="K262" s="108" t="inlineStr">
        <is>
          <t>Won</t>
        </is>
      </c>
      <c r="L262" s="138" t="n">
        <v>75</v>
      </c>
      <c r="M262" s="108" t="inlineStr">
        <is>
          <t>Acme Corp</t>
        </is>
      </c>
      <c r="N262" s="108" t="inlineStr">
        <is>
          <t>Enterprise (&gt;$200K)</t>
        </is>
      </c>
      <c r="O262" s="108" t="inlineStr">
        <is>
          <t>Referral</t>
        </is>
      </c>
      <c r="P262" s="110">
        <f>H262*0.08</f>
        <v/>
      </c>
      <c r="Q262" s="137" t="n">
        <v>0.12</v>
      </c>
      <c r="R262" s="108" t="inlineStr">
        <is>
          <t>Q1 deal - Referral channel</t>
        </is>
      </c>
    </row>
    <row r="263" ht="15" customHeight="1" s="77">
      <c r="A263" s="117" t="inlineStr">
        <is>
          <t>2025-10-17</t>
        </is>
      </c>
      <c r="B263" s="117" t="inlineStr">
        <is>
          <t>October</t>
        </is>
      </c>
      <c r="C263" s="117" t="inlineStr">
        <is>
          <t>Mike Chen</t>
        </is>
      </c>
      <c r="D263" s="117" t="inlineStr">
        <is>
          <t>West</t>
        </is>
      </c>
      <c r="E263" s="117" t="inlineStr">
        <is>
          <t>Product B</t>
        </is>
      </c>
      <c r="F263" s="117" t="inlineStr">
        <is>
          <t>SMB</t>
        </is>
      </c>
      <c r="G263" s="118" t="n">
        <v>48</v>
      </c>
      <c r="H263" s="119" t="n">
        <v>719952</v>
      </c>
      <c r="I263" s="119" t="n">
        <v>826565</v>
      </c>
      <c r="J263" s="119" t="n">
        <v>744500</v>
      </c>
      <c r="K263" s="117" t="inlineStr">
        <is>
          <t>Won</t>
        </is>
      </c>
      <c r="L263" s="140" t="n">
        <v>28</v>
      </c>
      <c r="M263" s="117" t="inlineStr">
        <is>
          <t>Beta Inc</t>
        </is>
      </c>
      <c r="N263" s="117" t="inlineStr">
        <is>
          <t>Enterprise (&gt;$200K)</t>
        </is>
      </c>
      <c r="O263" s="117" t="inlineStr">
        <is>
          <t>Cold Call</t>
        </is>
      </c>
      <c r="P263" s="119">
        <f>H263*0.08</f>
        <v/>
      </c>
      <c r="Q263" s="139" t="n">
        <v>0.09</v>
      </c>
      <c r="R263" s="117" t="inlineStr">
        <is>
          <t>Q2 deal - Cold Call channel</t>
        </is>
      </c>
    </row>
    <row r="264" ht="15" customHeight="1" s="77">
      <c r="A264" s="108" t="inlineStr">
        <is>
          <t>2025-02-12</t>
        </is>
      </c>
      <c r="B264" s="108" t="inlineStr">
        <is>
          <t>February</t>
        </is>
      </c>
      <c r="C264" s="108" t="inlineStr">
        <is>
          <t>Priya Sharma</t>
        </is>
      </c>
      <c r="D264" s="108" t="inlineStr">
        <is>
          <t>East</t>
        </is>
      </c>
      <c r="E264" s="108" t="inlineStr">
        <is>
          <t>Product C</t>
        </is>
      </c>
      <c r="F264" s="108" t="inlineStr">
        <is>
          <t>Mid-Market</t>
        </is>
      </c>
      <c r="G264" s="109" t="n">
        <v>22</v>
      </c>
      <c r="H264" s="110" t="n">
        <v>659978</v>
      </c>
      <c r="I264" s="110" t="n">
        <v>610590</v>
      </c>
      <c r="J264" s="110" t="n">
        <v>723947</v>
      </c>
      <c r="K264" s="108" t="inlineStr">
        <is>
          <t>Lost</t>
        </is>
      </c>
      <c r="L264" s="138" t="n">
        <v>118</v>
      </c>
      <c r="M264" s="108" t="inlineStr">
        <is>
          <t>Gamma LLC</t>
        </is>
      </c>
      <c r="N264" s="108" t="inlineStr">
        <is>
          <t>Enterprise (&gt;$200K)</t>
        </is>
      </c>
      <c r="O264" s="108" t="inlineStr">
        <is>
          <t>LinkedIn</t>
        </is>
      </c>
      <c r="P264" s="110">
        <f>H264*0.08</f>
        <v/>
      </c>
      <c r="Q264" s="137" t="n">
        <v>0.09</v>
      </c>
      <c r="R264" s="108" t="inlineStr">
        <is>
          <t>Q3 deal - LinkedIn channel</t>
        </is>
      </c>
    </row>
    <row r="265" ht="15" customHeight="1" s="77">
      <c r="A265" s="117" t="inlineStr">
        <is>
          <t>2025-06-12</t>
        </is>
      </c>
      <c r="B265" s="117" t="inlineStr">
        <is>
          <t>June</t>
        </is>
      </c>
      <c r="C265" s="117" t="inlineStr">
        <is>
          <t>James Williams</t>
        </is>
      </c>
      <c r="D265" s="117" t="inlineStr">
        <is>
          <t>South</t>
        </is>
      </c>
      <c r="E265" s="117" t="inlineStr">
        <is>
          <t>Product D</t>
        </is>
      </c>
      <c r="F265" s="117" t="inlineStr">
        <is>
          <t>Startup</t>
        </is>
      </c>
      <c r="G265" s="118" t="n">
        <v>1</v>
      </c>
      <c r="H265" s="119" t="n">
        <v>29999</v>
      </c>
      <c r="I265" s="119" t="n">
        <v>29266</v>
      </c>
      <c r="J265" s="119" t="n">
        <v>28138</v>
      </c>
      <c r="K265" s="117" t="inlineStr">
        <is>
          <t>In Progress</t>
        </is>
      </c>
      <c r="L265" s="140" t="n">
        <v>71</v>
      </c>
      <c r="M265" s="117" t="inlineStr">
        <is>
          <t>Delta Ltd</t>
        </is>
      </c>
      <c r="N265" s="117" t="inlineStr">
        <is>
          <t>Medium ($10K-$50K)</t>
        </is>
      </c>
      <c r="O265" s="117" t="inlineStr">
        <is>
          <t>Trade Show</t>
        </is>
      </c>
      <c r="P265" s="119">
        <f>H265*0.08</f>
        <v/>
      </c>
      <c r="Q265" s="139" t="n">
        <v>0</v>
      </c>
      <c r="R265" s="117" t="inlineStr">
        <is>
          <t>Q4 deal - Trade Show channel</t>
        </is>
      </c>
    </row>
    <row r="266" ht="15" customHeight="1" s="77">
      <c r="A266" s="108" t="inlineStr">
        <is>
          <t>2025-07-22</t>
        </is>
      </c>
      <c r="B266" s="108" t="inlineStr">
        <is>
          <t>July</t>
        </is>
      </c>
      <c r="C266" s="108" t="inlineStr">
        <is>
          <t>Emily Davis</t>
        </is>
      </c>
      <c r="D266" s="108" t="inlineStr">
        <is>
          <t>Central</t>
        </is>
      </c>
      <c r="E266" s="108" t="inlineStr">
        <is>
          <t>Product E</t>
        </is>
      </c>
      <c r="F266" s="108" t="inlineStr">
        <is>
          <t>Government</t>
        </is>
      </c>
      <c r="G266" s="109" t="n">
        <v>15</v>
      </c>
      <c r="H266" s="110" t="n">
        <v>119985</v>
      </c>
      <c r="I266" s="110" t="n">
        <v>130190</v>
      </c>
      <c r="J266" s="110" t="n">
        <v>102096</v>
      </c>
      <c r="K266" s="108" t="inlineStr">
        <is>
          <t>In Progress</t>
        </is>
      </c>
      <c r="L266" s="138" t="n">
        <v>73</v>
      </c>
      <c r="M266" s="108" t="inlineStr">
        <is>
          <t>Epsilon Co</t>
        </is>
      </c>
      <c r="N266" s="108" t="inlineStr">
        <is>
          <t>Large ($50K-$200K)</t>
        </is>
      </c>
      <c r="O266" s="108" t="inlineStr">
        <is>
          <t>Website</t>
        </is>
      </c>
      <c r="P266" s="110">
        <f>H266*0.08</f>
        <v/>
      </c>
      <c r="Q266" s="137" t="n">
        <v>0.01</v>
      </c>
      <c r="R266" s="108" t="inlineStr">
        <is>
          <t>Q1 deal - Website channel</t>
        </is>
      </c>
    </row>
    <row r="267" ht="15" customHeight="1" s="77">
      <c r="A267" s="117" t="inlineStr">
        <is>
          <t>2025-07-23</t>
        </is>
      </c>
      <c r="B267" s="117" t="inlineStr">
        <is>
          <t>July</t>
        </is>
      </c>
      <c r="C267" s="117" t="inlineStr">
        <is>
          <t>Carlos Ruiz</t>
        </is>
      </c>
      <c r="D267" s="117" t="inlineStr">
        <is>
          <t>International</t>
        </is>
      </c>
      <c r="E267" s="117" t="inlineStr">
        <is>
          <t>Product F</t>
        </is>
      </c>
      <c r="F267" s="117" t="inlineStr">
        <is>
          <t>Enterprise</t>
        </is>
      </c>
      <c r="G267" s="118" t="n">
        <v>44</v>
      </c>
      <c r="H267" s="119" t="n">
        <v>659956</v>
      </c>
      <c r="I267" s="119" t="n">
        <v>712520</v>
      </c>
      <c r="J267" s="119" t="n">
        <v>569683</v>
      </c>
      <c r="K267" s="117" t="inlineStr">
        <is>
          <t>Won</t>
        </is>
      </c>
      <c r="L267" s="140" t="n">
        <v>19</v>
      </c>
      <c r="M267" s="117" t="inlineStr">
        <is>
          <t>Zeta Corp</t>
        </is>
      </c>
      <c r="N267" s="117" t="inlineStr">
        <is>
          <t>Enterprise (&gt;$200K)</t>
        </is>
      </c>
      <c r="O267" s="117" t="inlineStr">
        <is>
          <t>Partner</t>
        </is>
      </c>
      <c r="P267" s="119">
        <f>H267*0.08</f>
        <v/>
      </c>
      <c r="Q267" s="139" t="n">
        <v>0.01</v>
      </c>
      <c r="R267" s="117" t="inlineStr">
        <is>
          <t>Q2 deal - Partner channel</t>
        </is>
      </c>
    </row>
    <row r="268" ht="15" customHeight="1" s="77">
      <c r="A268" s="108" t="inlineStr">
        <is>
          <t>2025-02-24</t>
        </is>
      </c>
      <c r="B268" s="108" t="inlineStr">
        <is>
          <t>February</t>
        </is>
      </c>
      <c r="C268" s="108" t="inlineStr">
        <is>
          <t>Lisa Park</t>
        </is>
      </c>
      <c r="D268" s="108" t="inlineStr">
        <is>
          <t>North</t>
        </is>
      </c>
      <c r="E268" s="108" t="inlineStr">
        <is>
          <t>Product G</t>
        </is>
      </c>
      <c r="F268" s="108" t="inlineStr">
        <is>
          <t>SMB</t>
        </is>
      </c>
      <c r="G268" s="109" t="n">
        <v>16</v>
      </c>
      <c r="H268" s="110" t="n">
        <v>79984</v>
      </c>
      <c r="I268" s="110" t="n">
        <v>84384</v>
      </c>
      <c r="J268" s="110" t="n">
        <v>71150</v>
      </c>
      <c r="K268" s="108" t="inlineStr">
        <is>
          <t>Won</t>
        </is>
      </c>
      <c r="L268" s="138" t="n">
        <v>22</v>
      </c>
      <c r="M268" s="108" t="inlineStr">
        <is>
          <t>Eta Inc</t>
        </is>
      </c>
      <c r="N268" s="108" t="inlineStr">
        <is>
          <t>Large ($50K-$200K)</t>
        </is>
      </c>
      <c r="O268" s="108" t="inlineStr">
        <is>
          <t>Email Campaign</t>
        </is>
      </c>
      <c r="P268" s="110">
        <f>H268*0.08</f>
        <v/>
      </c>
      <c r="Q268" s="137" t="n">
        <v>0.14</v>
      </c>
      <c r="R268" s="108" t="inlineStr">
        <is>
          <t>Q3 deal - Email Campaign channel</t>
        </is>
      </c>
    </row>
    <row r="269" ht="15" customHeight="1" s="77">
      <c r="A269" s="117" t="inlineStr">
        <is>
          <t>2025-04-25</t>
        </is>
      </c>
      <c r="B269" s="117" t="inlineStr">
        <is>
          <t>April</t>
        </is>
      </c>
      <c r="C269" s="117" t="inlineStr">
        <is>
          <t>Tom Brown</t>
        </is>
      </c>
      <c r="D269" s="117" t="inlineStr">
        <is>
          <t>West</t>
        </is>
      </c>
      <c r="E269" s="117" t="inlineStr">
        <is>
          <t>Product H</t>
        </is>
      </c>
      <c r="F269" s="117" t="inlineStr">
        <is>
          <t>Mid-Market</t>
        </is>
      </c>
      <c r="G269" s="118" t="n">
        <v>44</v>
      </c>
      <c r="H269" s="119" t="n">
        <v>2199956</v>
      </c>
      <c r="I269" s="119" t="n">
        <v>2560781</v>
      </c>
      <c r="J269" s="119" t="n">
        <v>2382553</v>
      </c>
      <c r="K269" s="117" t="inlineStr">
        <is>
          <t>Won</t>
        </is>
      </c>
      <c r="L269" s="140" t="n">
        <v>77</v>
      </c>
      <c r="M269" s="117" t="inlineStr">
        <is>
          <t>Theta LLC</t>
        </is>
      </c>
      <c r="N269" s="117" t="inlineStr">
        <is>
          <t>Enterprise (&gt;$200K)</t>
        </is>
      </c>
      <c r="O269" s="117" t="inlineStr">
        <is>
          <t>Webinar</t>
        </is>
      </c>
      <c r="P269" s="119">
        <f>H269*0.08</f>
        <v/>
      </c>
      <c r="Q269" s="139" t="n">
        <v>0.01</v>
      </c>
      <c r="R269" s="117" t="inlineStr">
        <is>
          <t>Q4 deal - Webinar channel</t>
        </is>
      </c>
    </row>
    <row r="270" ht="15" customHeight="1" s="77">
      <c r="A270" s="108" t="inlineStr">
        <is>
          <t>2025-07-05</t>
        </is>
      </c>
      <c r="B270" s="108" t="inlineStr">
        <is>
          <t>July</t>
        </is>
      </c>
      <c r="C270" s="108" t="inlineStr">
        <is>
          <t>Anna Schmidt</t>
        </is>
      </c>
      <c r="D270" s="108" t="inlineStr">
        <is>
          <t>East</t>
        </is>
      </c>
      <c r="E270" s="108" t="inlineStr">
        <is>
          <t>Product I</t>
        </is>
      </c>
      <c r="F270" s="108" t="inlineStr">
        <is>
          <t>Startup</t>
        </is>
      </c>
      <c r="G270" s="109" t="n">
        <v>48</v>
      </c>
      <c r="H270" s="110" t="n">
        <v>1199952</v>
      </c>
      <c r="I270" s="110" t="n">
        <v>1121130</v>
      </c>
      <c r="J270" s="110" t="n">
        <v>1255973</v>
      </c>
      <c r="K270" s="108" t="inlineStr">
        <is>
          <t>Won</t>
        </is>
      </c>
      <c r="L270" s="138" t="n">
        <v>80</v>
      </c>
      <c r="M270" s="108" t="inlineStr">
        <is>
          <t>Iota Ltd</t>
        </is>
      </c>
      <c r="N270" s="108" t="inlineStr">
        <is>
          <t>Enterprise (&gt;$200K)</t>
        </is>
      </c>
      <c r="O270" s="108" t="inlineStr">
        <is>
          <t>SEO</t>
        </is>
      </c>
      <c r="P270" s="110">
        <f>H270*0.08</f>
        <v/>
      </c>
      <c r="Q270" s="137" t="n">
        <v>0.12</v>
      </c>
      <c r="R270" s="108" t="inlineStr">
        <is>
          <t>Q1 deal - SEO channel</t>
        </is>
      </c>
    </row>
    <row r="271" ht="15" customHeight="1" s="77">
      <c r="A271" s="117" t="inlineStr">
        <is>
          <t>2025-05-08</t>
        </is>
      </c>
      <c r="B271" s="117" t="inlineStr">
        <is>
          <t>May</t>
        </is>
      </c>
      <c r="C271" s="117" t="inlineStr">
        <is>
          <t>David Kim</t>
        </is>
      </c>
      <c r="D271" s="117" t="inlineStr">
        <is>
          <t>South</t>
        </is>
      </c>
      <c r="E271" s="117" t="inlineStr">
        <is>
          <t>Product J</t>
        </is>
      </c>
      <c r="F271" s="117" t="inlineStr">
        <is>
          <t>Government</t>
        </is>
      </c>
      <c r="G271" s="118" t="n">
        <v>2</v>
      </c>
      <c r="H271" s="119" t="n">
        <v>39998</v>
      </c>
      <c r="I271" s="119" t="n">
        <v>37288</v>
      </c>
      <c r="J271" s="119" t="n">
        <v>41866</v>
      </c>
      <c r="K271" s="117" t="inlineStr">
        <is>
          <t>Lost</t>
        </is>
      </c>
      <c r="L271" s="140" t="n">
        <v>99</v>
      </c>
      <c r="M271" s="117" t="inlineStr">
        <is>
          <t>Kappa Co</t>
        </is>
      </c>
      <c r="N271" s="117" t="inlineStr">
        <is>
          <t>Medium ($10K-$50K)</t>
        </is>
      </c>
      <c r="O271" s="117" t="inlineStr">
        <is>
          <t>Direct</t>
        </is>
      </c>
      <c r="P271" s="119">
        <f>H271*0.08</f>
        <v/>
      </c>
      <c r="Q271" s="139" t="n">
        <v>0.1</v>
      </c>
      <c r="R271" s="117" t="inlineStr">
        <is>
          <t>Q2 deal - Direct channel</t>
        </is>
      </c>
    </row>
    <row r="272" ht="15" customHeight="1" s="77">
      <c r="A272" s="108" t="inlineStr">
        <is>
          <t>2025-06-19</t>
        </is>
      </c>
      <c r="B272" s="108" t="inlineStr">
        <is>
          <t>June</t>
        </is>
      </c>
      <c r="C272" s="108" t="inlineStr">
        <is>
          <t>Rachel Green</t>
        </is>
      </c>
      <c r="D272" s="108" t="inlineStr">
        <is>
          <t>Central</t>
        </is>
      </c>
      <c r="E272" s="108" t="inlineStr">
        <is>
          <t>Product A</t>
        </is>
      </c>
      <c r="F272" s="108" t="inlineStr">
        <is>
          <t>Enterprise</t>
        </is>
      </c>
      <c r="G272" s="109" t="n">
        <v>30</v>
      </c>
      <c r="H272" s="110" t="n">
        <v>449970</v>
      </c>
      <c r="I272" s="110" t="n">
        <v>405517</v>
      </c>
      <c r="J272" s="110" t="n">
        <v>433072</v>
      </c>
      <c r="K272" s="108" t="inlineStr">
        <is>
          <t>In Progress</t>
        </is>
      </c>
      <c r="L272" s="138" t="n">
        <v>37</v>
      </c>
      <c r="M272" s="108" t="inlineStr">
        <is>
          <t>Lambda Corp</t>
        </is>
      </c>
      <c r="N272" s="108" t="inlineStr">
        <is>
          <t>Enterprise (&gt;$200K)</t>
        </is>
      </c>
      <c r="O272" s="108" t="inlineStr">
        <is>
          <t>Referral</t>
        </is>
      </c>
      <c r="P272" s="110">
        <f>H272*0.08</f>
        <v/>
      </c>
      <c r="Q272" s="137" t="n">
        <v>0.09</v>
      </c>
      <c r="R272" s="108" t="inlineStr">
        <is>
          <t>Q3 deal - Referral channel</t>
        </is>
      </c>
    </row>
    <row r="273" ht="15" customHeight="1" s="77">
      <c r="A273" s="117" t="inlineStr">
        <is>
          <t>2025-04-21</t>
        </is>
      </c>
      <c r="B273" s="117" t="inlineStr">
        <is>
          <t>April</t>
        </is>
      </c>
      <c r="C273" s="117" t="inlineStr">
        <is>
          <t>Mark Thompson</t>
        </is>
      </c>
      <c r="D273" s="117" t="inlineStr">
        <is>
          <t>International</t>
        </is>
      </c>
      <c r="E273" s="117" t="inlineStr">
        <is>
          <t>Product B</t>
        </is>
      </c>
      <c r="F273" s="117" t="inlineStr">
        <is>
          <t>SMB</t>
        </is>
      </c>
      <c r="G273" s="118" t="n">
        <v>24</v>
      </c>
      <c r="H273" s="119" t="n">
        <v>1199976</v>
      </c>
      <c r="I273" s="119" t="n">
        <v>1204602</v>
      </c>
      <c r="J273" s="119" t="n">
        <v>1246230</v>
      </c>
      <c r="K273" s="117" t="inlineStr">
        <is>
          <t>In Progress</t>
        </is>
      </c>
      <c r="L273" s="140" t="n">
        <v>28</v>
      </c>
      <c r="M273" s="117" t="inlineStr">
        <is>
          <t>Mu Inc</t>
        </is>
      </c>
      <c r="N273" s="117" t="inlineStr">
        <is>
          <t>Enterprise (&gt;$200K)</t>
        </is>
      </c>
      <c r="O273" s="117" t="inlineStr">
        <is>
          <t>Cold Call</t>
        </is>
      </c>
      <c r="P273" s="119">
        <f>H273*0.08</f>
        <v/>
      </c>
      <c r="Q273" s="139" t="n">
        <v>0.11</v>
      </c>
      <c r="R273" s="117" t="inlineStr">
        <is>
          <t>Q4 deal - Cold Call channel</t>
        </is>
      </c>
    </row>
    <row r="274" ht="15" customHeight="1" s="77">
      <c r="A274" s="108" t="inlineStr">
        <is>
          <t>2025-08-19</t>
        </is>
      </c>
      <c r="B274" s="108" t="inlineStr">
        <is>
          <t>August</t>
        </is>
      </c>
      <c r="C274" s="108" t="inlineStr">
        <is>
          <t>Susan Lee</t>
        </is>
      </c>
      <c r="D274" s="108" t="inlineStr">
        <is>
          <t>North</t>
        </is>
      </c>
      <c r="E274" s="108" t="inlineStr">
        <is>
          <t>Product C</t>
        </is>
      </c>
      <c r="F274" s="108" t="inlineStr">
        <is>
          <t>Mid-Market</t>
        </is>
      </c>
      <c r="G274" s="109" t="n">
        <v>40</v>
      </c>
      <c r="H274" s="110" t="n">
        <v>199960</v>
      </c>
      <c r="I274" s="110" t="n">
        <v>222051</v>
      </c>
      <c r="J274" s="110" t="n">
        <v>182821</v>
      </c>
      <c r="K274" s="108" t="inlineStr">
        <is>
          <t>Won</t>
        </is>
      </c>
      <c r="L274" s="138" t="n">
        <v>59</v>
      </c>
      <c r="M274" s="108" t="inlineStr">
        <is>
          <t>Nu LLC</t>
        </is>
      </c>
      <c r="N274" s="108" t="inlineStr">
        <is>
          <t>Large ($50K-$200K)</t>
        </is>
      </c>
      <c r="O274" s="108" t="inlineStr">
        <is>
          <t>LinkedIn</t>
        </is>
      </c>
      <c r="P274" s="110">
        <f>H274*0.08</f>
        <v/>
      </c>
      <c r="Q274" s="137" t="n">
        <v>0.14</v>
      </c>
      <c r="R274" s="108" t="inlineStr">
        <is>
          <t>Q1 deal - LinkedIn channel</t>
        </is>
      </c>
    </row>
    <row r="275" ht="15" customHeight="1" s="77">
      <c r="A275" s="117" t="inlineStr">
        <is>
          <t>2025-04-23</t>
        </is>
      </c>
      <c r="B275" s="117" t="inlineStr">
        <is>
          <t>April</t>
        </is>
      </c>
      <c r="C275" s="117" t="inlineStr">
        <is>
          <t>Kevin Martin</t>
        </is>
      </c>
      <c r="D275" s="117" t="inlineStr">
        <is>
          <t>West</t>
        </is>
      </c>
      <c r="E275" s="117" t="inlineStr">
        <is>
          <t>Product D</t>
        </is>
      </c>
      <c r="F275" s="117" t="inlineStr">
        <is>
          <t>Startup</t>
        </is>
      </c>
      <c r="G275" s="118" t="n">
        <v>16</v>
      </c>
      <c r="H275" s="119" t="n">
        <v>799984</v>
      </c>
      <c r="I275" s="119" t="n">
        <v>861560</v>
      </c>
      <c r="J275" s="119" t="n">
        <v>768304</v>
      </c>
      <c r="K275" s="117" t="inlineStr">
        <is>
          <t>Won</t>
        </is>
      </c>
      <c r="L275" s="140" t="n">
        <v>13</v>
      </c>
      <c r="M275" s="117" t="inlineStr">
        <is>
          <t>Xi Ltd</t>
        </is>
      </c>
      <c r="N275" s="117" t="inlineStr">
        <is>
          <t>Enterprise (&gt;$200K)</t>
        </is>
      </c>
      <c r="O275" s="117" t="inlineStr">
        <is>
          <t>Trade Show</t>
        </is>
      </c>
      <c r="P275" s="119">
        <f>H275*0.08</f>
        <v/>
      </c>
      <c r="Q275" s="139" t="n">
        <v>0.14</v>
      </c>
      <c r="R275" s="117" t="inlineStr">
        <is>
          <t>Q2 deal - Trade Show channel</t>
        </is>
      </c>
    </row>
    <row r="276" ht="15" customHeight="1" s="77">
      <c r="A276" s="108" t="inlineStr">
        <is>
          <t>2025-03-08</t>
        </is>
      </c>
      <c r="B276" s="108" t="inlineStr">
        <is>
          <t>March</t>
        </is>
      </c>
      <c r="C276" s="108" t="inlineStr">
        <is>
          <t>Nina Patel</t>
        </is>
      </c>
      <c r="D276" s="108" t="inlineStr">
        <is>
          <t>East</t>
        </is>
      </c>
      <c r="E276" s="108" t="inlineStr">
        <is>
          <t>Product E</t>
        </is>
      </c>
      <c r="F276" s="108" t="inlineStr">
        <is>
          <t>Government</t>
        </is>
      </c>
      <c r="G276" s="109" t="n">
        <v>49</v>
      </c>
      <c r="H276" s="110" t="n">
        <v>1469951</v>
      </c>
      <c r="I276" s="110" t="n">
        <v>1648879</v>
      </c>
      <c r="J276" s="110" t="n">
        <v>1446284</v>
      </c>
      <c r="K276" s="108" t="inlineStr">
        <is>
          <t>Won</t>
        </is>
      </c>
      <c r="L276" s="138" t="n">
        <v>16</v>
      </c>
      <c r="M276" s="108" t="inlineStr">
        <is>
          <t>Pi Co</t>
        </is>
      </c>
      <c r="N276" s="108" t="inlineStr">
        <is>
          <t>Enterprise (&gt;$200K)</t>
        </is>
      </c>
      <c r="O276" s="108" t="inlineStr">
        <is>
          <t>Website</t>
        </is>
      </c>
      <c r="P276" s="110">
        <f>H276*0.08</f>
        <v/>
      </c>
      <c r="Q276" s="137" t="n">
        <v>0.01</v>
      </c>
      <c r="R276" s="108" t="inlineStr">
        <is>
          <t>Q3 deal - Website channel</t>
        </is>
      </c>
    </row>
    <row r="277" ht="15" customHeight="1" s="77">
      <c r="A277" s="117" t="inlineStr">
        <is>
          <t>2025-03-18</t>
        </is>
      </c>
      <c r="B277" s="117" t="inlineStr">
        <is>
          <t>March</t>
        </is>
      </c>
      <c r="C277" s="117" t="inlineStr">
        <is>
          <t>Chris Wilson</t>
        </is>
      </c>
      <c r="D277" s="117" t="inlineStr">
        <is>
          <t>South</t>
        </is>
      </c>
      <c r="E277" s="117" t="inlineStr">
        <is>
          <t>Product F</t>
        </is>
      </c>
      <c r="F277" s="117" t="inlineStr">
        <is>
          <t>Enterprise</t>
        </is>
      </c>
      <c r="G277" s="118" t="n">
        <v>1</v>
      </c>
      <c r="H277" s="119" t="n">
        <v>24999</v>
      </c>
      <c r="I277" s="119" t="n">
        <v>28196</v>
      </c>
      <c r="J277" s="119" t="n">
        <v>24166</v>
      </c>
      <c r="K277" s="117" t="inlineStr">
        <is>
          <t>Won</t>
        </is>
      </c>
      <c r="L277" s="140" t="n">
        <v>77</v>
      </c>
      <c r="M277" s="117" t="inlineStr">
        <is>
          <t>Rho Corp</t>
        </is>
      </c>
      <c r="N277" s="117" t="inlineStr">
        <is>
          <t>Medium ($10K-$50K)</t>
        </is>
      </c>
      <c r="O277" s="117" t="inlineStr">
        <is>
          <t>Partner</t>
        </is>
      </c>
      <c r="P277" s="119">
        <f>H277*0.08</f>
        <v/>
      </c>
      <c r="Q277" s="139" t="n">
        <v>0.06</v>
      </c>
      <c r="R277" s="117" t="inlineStr">
        <is>
          <t>Q4 deal - Partner channel</t>
        </is>
      </c>
    </row>
    <row r="278" ht="15" customHeight="1" s="77">
      <c r="A278" s="108" t="inlineStr">
        <is>
          <t>2025-08-07</t>
        </is>
      </c>
      <c r="B278" s="108" t="inlineStr">
        <is>
          <t>August</t>
        </is>
      </c>
      <c r="C278" s="108" t="inlineStr">
        <is>
          <t>Amanda Foster</t>
        </is>
      </c>
      <c r="D278" s="108" t="inlineStr">
        <is>
          <t>Central</t>
        </is>
      </c>
      <c r="E278" s="108" t="inlineStr">
        <is>
          <t>Product G</t>
        </is>
      </c>
      <c r="F278" s="108" t="inlineStr">
        <is>
          <t>SMB</t>
        </is>
      </c>
      <c r="G278" s="109" t="n">
        <v>12</v>
      </c>
      <c r="H278" s="110" t="n">
        <v>299988</v>
      </c>
      <c r="I278" s="110" t="n">
        <v>354059</v>
      </c>
      <c r="J278" s="110" t="n">
        <v>265558</v>
      </c>
      <c r="K278" s="108" t="inlineStr">
        <is>
          <t>Lost</t>
        </is>
      </c>
      <c r="L278" s="138" t="n">
        <v>44</v>
      </c>
      <c r="M278" s="108" t="inlineStr">
        <is>
          <t>Sigma Inc</t>
        </is>
      </c>
      <c r="N278" s="108" t="inlineStr">
        <is>
          <t>Enterprise (&gt;$200K)</t>
        </is>
      </c>
      <c r="O278" s="108" t="inlineStr">
        <is>
          <t>Email Campaign</t>
        </is>
      </c>
      <c r="P278" s="110">
        <f>H278*0.08</f>
        <v/>
      </c>
      <c r="Q278" s="137" t="n">
        <v>0.1</v>
      </c>
      <c r="R278" s="108" t="inlineStr">
        <is>
          <t>Q1 deal - Email Campaign channel</t>
        </is>
      </c>
    </row>
    <row r="279" ht="15" customHeight="1" s="77">
      <c r="A279" s="117" t="inlineStr">
        <is>
          <t>2025-11-02</t>
        </is>
      </c>
      <c r="B279" s="117" t="inlineStr">
        <is>
          <t>November</t>
        </is>
      </c>
      <c r="C279" s="117" t="inlineStr">
        <is>
          <t>Robert Taylor</t>
        </is>
      </c>
      <c r="D279" s="117" t="inlineStr">
        <is>
          <t>International</t>
        </is>
      </c>
      <c r="E279" s="117" t="inlineStr">
        <is>
          <t>Product H</t>
        </is>
      </c>
      <c r="F279" s="117" t="inlineStr">
        <is>
          <t>Mid-Market</t>
        </is>
      </c>
      <c r="G279" s="118" t="n">
        <v>4</v>
      </c>
      <c r="H279" s="119" t="n">
        <v>199996</v>
      </c>
      <c r="I279" s="119" t="n">
        <v>232015</v>
      </c>
      <c r="J279" s="119" t="n">
        <v>183227</v>
      </c>
      <c r="K279" s="117" t="inlineStr">
        <is>
          <t>In Progress</t>
        </is>
      </c>
      <c r="L279" s="140" t="n">
        <v>41</v>
      </c>
      <c r="M279" s="117" t="inlineStr">
        <is>
          <t>Tau LLC</t>
        </is>
      </c>
      <c r="N279" s="117" t="inlineStr">
        <is>
          <t>Large ($50K-$200K)</t>
        </is>
      </c>
      <c r="O279" s="117" t="inlineStr">
        <is>
          <t>Webinar</t>
        </is>
      </c>
      <c r="P279" s="119">
        <f>H279*0.08</f>
        <v/>
      </c>
      <c r="Q279" s="139" t="n">
        <v>0.15</v>
      </c>
      <c r="R279" s="117" t="inlineStr">
        <is>
          <t>Q2 deal - Webinar channel</t>
        </is>
      </c>
    </row>
    <row r="280" ht="15" customHeight="1" s="77">
      <c r="A280" s="108" t="inlineStr">
        <is>
          <t>2025-12-11</t>
        </is>
      </c>
      <c r="B280" s="108" t="inlineStr">
        <is>
          <t>December</t>
        </is>
      </c>
      <c r="C280" s="108" t="inlineStr">
        <is>
          <t>Jennifer Moore</t>
        </is>
      </c>
      <c r="D280" s="108" t="inlineStr">
        <is>
          <t>North</t>
        </is>
      </c>
      <c r="E280" s="108" t="inlineStr">
        <is>
          <t>Product I</t>
        </is>
      </c>
      <c r="F280" s="108" t="inlineStr">
        <is>
          <t>Startup</t>
        </is>
      </c>
      <c r="G280" s="109" t="n">
        <v>48</v>
      </c>
      <c r="H280" s="110" t="n">
        <v>719952</v>
      </c>
      <c r="I280" s="110" t="n">
        <v>712225</v>
      </c>
      <c r="J280" s="110" t="n">
        <v>739606</v>
      </c>
      <c r="K280" s="108" t="inlineStr">
        <is>
          <t>In Progress</t>
        </is>
      </c>
      <c r="L280" s="138" t="n">
        <v>45</v>
      </c>
      <c r="M280" s="108" t="inlineStr">
        <is>
          <t>Upsilon Ltd</t>
        </is>
      </c>
      <c r="N280" s="108" t="inlineStr">
        <is>
          <t>Enterprise (&gt;$200K)</t>
        </is>
      </c>
      <c r="O280" s="108" t="inlineStr">
        <is>
          <t>SEO</t>
        </is>
      </c>
      <c r="P280" s="110">
        <f>H280*0.08</f>
        <v/>
      </c>
      <c r="Q280" s="137" t="n">
        <v>0.08</v>
      </c>
      <c r="R280" s="108" t="inlineStr">
        <is>
          <t>Q3 deal - SEO channel</t>
        </is>
      </c>
    </row>
    <row r="281" ht="15" customHeight="1" s="77">
      <c r="A281" s="117" t="inlineStr">
        <is>
          <t>2025-05-09</t>
        </is>
      </c>
      <c r="B281" s="117" t="inlineStr">
        <is>
          <t>May</t>
        </is>
      </c>
      <c r="C281" s="117" t="inlineStr">
        <is>
          <t>Daniel Jackson</t>
        </is>
      </c>
      <c r="D281" s="117" t="inlineStr">
        <is>
          <t>West</t>
        </is>
      </c>
      <c r="E281" s="117" t="inlineStr">
        <is>
          <t>Product J</t>
        </is>
      </c>
      <c r="F281" s="117" t="inlineStr">
        <is>
          <t>Government</t>
        </is>
      </c>
      <c r="G281" s="118" t="n">
        <v>9</v>
      </c>
      <c r="H281" s="119" t="n">
        <v>71991</v>
      </c>
      <c r="I281" s="119" t="n">
        <v>83903</v>
      </c>
      <c r="J281" s="119" t="n">
        <v>64121</v>
      </c>
      <c r="K281" s="117" t="inlineStr">
        <is>
          <t>Won</t>
        </is>
      </c>
      <c r="L281" s="140" t="n">
        <v>71</v>
      </c>
      <c r="M281" s="117" t="inlineStr">
        <is>
          <t>Phi Co</t>
        </is>
      </c>
      <c r="N281" s="117" t="inlineStr">
        <is>
          <t>Large ($50K-$200K)</t>
        </is>
      </c>
      <c r="O281" s="117" t="inlineStr">
        <is>
          <t>Direct</t>
        </is>
      </c>
      <c r="P281" s="119">
        <f>H281*0.08</f>
        <v/>
      </c>
      <c r="Q281" s="139" t="n">
        <v>0.12</v>
      </c>
      <c r="R281" s="117" t="inlineStr">
        <is>
          <t>Q4 deal - Direct channel</t>
        </is>
      </c>
    </row>
    <row r="282" ht="15" customHeight="1" s="77">
      <c r="A282" s="108" t="inlineStr">
        <is>
          <t>2025-04-09</t>
        </is>
      </c>
      <c r="B282" s="108" t="inlineStr">
        <is>
          <t>April</t>
        </is>
      </c>
      <c r="C282" s="108" t="inlineStr">
        <is>
          <t>Sarah Johnson</t>
        </is>
      </c>
      <c r="D282" s="108" t="inlineStr">
        <is>
          <t>North</t>
        </is>
      </c>
      <c r="E282" s="108" t="inlineStr">
        <is>
          <t>Product A</t>
        </is>
      </c>
      <c r="F282" s="108" t="inlineStr">
        <is>
          <t>Enterprise</t>
        </is>
      </c>
      <c r="G282" s="109" t="n">
        <v>25</v>
      </c>
      <c r="H282" s="110" t="n">
        <v>374975</v>
      </c>
      <c r="I282" s="110" t="n">
        <v>446361</v>
      </c>
      <c r="J282" s="110" t="n">
        <v>367190</v>
      </c>
      <c r="K282" s="108" t="inlineStr">
        <is>
          <t>Won</t>
        </is>
      </c>
      <c r="L282" s="138" t="n">
        <v>68</v>
      </c>
      <c r="M282" s="108" t="inlineStr">
        <is>
          <t>Acme Corp</t>
        </is>
      </c>
      <c r="N282" s="108" t="inlineStr">
        <is>
          <t>Enterprise (&gt;$200K)</t>
        </is>
      </c>
      <c r="O282" s="108" t="inlineStr">
        <is>
          <t>Referral</t>
        </is>
      </c>
      <c r="P282" s="110">
        <f>H282*0.08</f>
        <v/>
      </c>
      <c r="Q282" s="137" t="n">
        <v>0.03</v>
      </c>
      <c r="R282" s="108" t="inlineStr">
        <is>
          <t>Q1 deal - Referral channel</t>
        </is>
      </c>
    </row>
    <row r="283" ht="15" customHeight="1" s="77">
      <c r="A283" s="117" t="inlineStr">
        <is>
          <t>2025-01-11</t>
        </is>
      </c>
      <c r="B283" s="117" t="inlineStr">
        <is>
          <t>January</t>
        </is>
      </c>
      <c r="C283" s="117" t="inlineStr">
        <is>
          <t>Mike Chen</t>
        </is>
      </c>
      <c r="D283" s="117" t="inlineStr">
        <is>
          <t>West</t>
        </is>
      </c>
      <c r="E283" s="117" t="inlineStr">
        <is>
          <t>Product B</t>
        </is>
      </c>
      <c r="F283" s="117" t="inlineStr">
        <is>
          <t>SMB</t>
        </is>
      </c>
      <c r="G283" s="118" t="n">
        <v>18</v>
      </c>
      <c r="H283" s="119" t="n">
        <v>449982</v>
      </c>
      <c r="I283" s="119" t="n">
        <v>479545</v>
      </c>
      <c r="J283" s="119" t="n">
        <v>448880</v>
      </c>
      <c r="K283" s="117" t="inlineStr">
        <is>
          <t>Won</t>
        </is>
      </c>
      <c r="L283" s="140" t="n">
        <v>116</v>
      </c>
      <c r="M283" s="117" t="inlineStr">
        <is>
          <t>Beta Inc</t>
        </is>
      </c>
      <c r="N283" s="117" t="inlineStr">
        <is>
          <t>Enterprise (&gt;$200K)</t>
        </is>
      </c>
      <c r="O283" s="117" t="inlineStr">
        <is>
          <t>Cold Call</t>
        </is>
      </c>
      <c r="P283" s="119">
        <f>H283*0.08</f>
        <v/>
      </c>
      <c r="Q283" s="139" t="n">
        <v>0</v>
      </c>
      <c r="R283" s="117" t="inlineStr">
        <is>
          <t>Q2 deal - Cold Call channel</t>
        </is>
      </c>
    </row>
    <row r="284" ht="15" customHeight="1" s="77">
      <c r="A284" s="108" t="inlineStr">
        <is>
          <t>2025-05-29</t>
        </is>
      </c>
      <c r="B284" s="108" t="inlineStr">
        <is>
          <t>May</t>
        </is>
      </c>
      <c r="C284" s="108" t="inlineStr">
        <is>
          <t>Priya Sharma</t>
        </is>
      </c>
      <c r="D284" s="108" t="inlineStr">
        <is>
          <t>East</t>
        </is>
      </c>
      <c r="E284" s="108" t="inlineStr">
        <is>
          <t>Product C</t>
        </is>
      </c>
      <c r="F284" s="108" t="inlineStr">
        <is>
          <t>Mid-Market</t>
        </is>
      </c>
      <c r="G284" s="109" t="n">
        <v>49</v>
      </c>
      <c r="H284" s="110" t="n">
        <v>1469951</v>
      </c>
      <c r="I284" s="110" t="n">
        <v>1569329</v>
      </c>
      <c r="J284" s="110" t="n">
        <v>1420407</v>
      </c>
      <c r="K284" s="108" t="inlineStr">
        <is>
          <t>Won</t>
        </is>
      </c>
      <c r="L284" s="138" t="n">
        <v>67</v>
      </c>
      <c r="M284" s="108" t="inlineStr">
        <is>
          <t>Gamma LLC</t>
        </is>
      </c>
      <c r="N284" s="108" t="inlineStr">
        <is>
          <t>Enterprise (&gt;$200K)</t>
        </is>
      </c>
      <c r="O284" s="108" t="inlineStr">
        <is>
          <t>LinkedIn</t>
        </is>
      </c>
      <c r="P284" s="110">
        <f>H284*0.08</f>
        <v/>
      </c>
      <c r="Q284" s="137" t="n">
        <v>0.01</v>
      </c>
      <c r="R284" s="108" t="inlineStr">
        <is>
          <t>Q3 deal - LinkedIn channel</t>
        </is>
      </c>
    </row>
    <row r="285" ht="15" customHeight="1" s="77">
      <c r="A285" s="117" t="inlineStr">
        <is>
          <t>2025-02-06</t>
        </is>
      </c>
      <c r="B285" s="117" t="inlineStr">
        <is>
          <t>February</t>
        </is>
      </c>
      <c r="C285" s="117" t="inlineStr">
        <is>
          <t>James Williams</t>
        </is>
      </c>
      <c r="D285" s="117" t="inlineStr">
        <is>
          <t>South</t>
        </is>
      </c>
      <c r="E285" s="117" t="inlineStr">
        <is>
          <t>Product D</t>
        </is>
      </c>
      <c r="F285" s="117" t="inlineStr">
        <is>
          <t>Startup</t>
        </is>
      </c>
      <c r="G285" s="118" t="n">
        <v>8</v>
      </c>
      <c r="H285" s="119" t="n">
        <v>199992</v>
      </c>
      <c r="I285" s="119" t="n">
        <v>204102</v>
      </c>
      <c r="J285" s="119" t="n">
        <v>208733</v>
      </c>
      <c r="K285" s="117" t="inlineStr">
        <is>
          <t>Lost</t>
        </is>
      </c>
      <c r="L285" s="140" t="n">
        <v>54</v>
      </c>
      <c r="M285" s="117" t="inlineStr">
        <is>
          <t>Delta Ltd</t>
        </is>
      </c>
      <c r="N285" s="117" t="inlineStr">
        <is>
          <t>Large ($50K-$200K)</t>
        </is>
      </c>
      <c r="O285" s="117" t="inlineStr">
        <is>
          <t>Trade Show</t>
        </is>
      </c>
      <c r="P285" s="119">
        <f>H285*0.08</f>
        <v/>
      </c>
      <c r="Q285" s="139" t="n">
        <v>0.04</v>
      </c>
      <c r="R285" s="117" t="inlineStr">
        <is>
          <t>Q4 deal - Trade Show channel</t>
        </is>
      </c>
    </row>
    <row r="286" ht="15" customHeight="1" s="77">
      <c r="A286" s="108" t="inlineStr">
        <is>
          <t>2025-05-27</t>
        </is>
      </c>
      <c r="B286" s="108" t="inlineStr">
        <is>
          <t>May</t>
        </is>
      </c>
      <c r="C286" s="108" t="inlineStr">
        <is>
          <t>Emily Davis</t>
        </is>
      </c>
      <c r="D286" s="108" t="inlineStr">
        <is>
          <t>Central</t>
        </is>
      </c>
      <c r="E286" s="108" t="inlineStr">
        <is>
          <t>Product E</t>
        </is>
      </c>
      <c r="F286" s="108" t="inlineStr">
        <is>
          <t>Government</t>
        </is>
      </c>
      <c r="G286" s="109" t="n">
        <v>37</v>
      </c>
      <c r="H286" s="110" t="n">
        <v>1849963</v>
      </c>
      <c r="I286" s="110" t="n">
        <v>1948232</v>
      </c>
      <c r="J286" s="110" t="n">
        <v>1822911</v>
      </c>
      <c r="K286" s="108" t="inlineStr">
        <is>
          <t>In Progress</t>
        </is>
      </c>
      <c r="L286" s="138" t="n">
        <v>79</v>
      </c>
      <c r="M286" s="108" t="inlineStr">
        <is>
          <t>Epsilon Co</t>
        </is>
      </c>
      <c r="N286" s="108" t="inlineStr">
        <is>
          <t>Enterprise (&gt;$200K)</t>
        </is>
      </c>
      <c r="O286" s="108" t="inlineStr">
        <is>
          <t>Website</t>
        </is>
      </c>
      <c r="P286" s="110">
        <f>H286*0.08</f>
        <v/>
      </c>
      <c r="Q286" s="137" t="n">
        <v>0</v>
      </c>
      <c r="R286" s="108" t="inlineStr">
        <is>
          <t>Q1 deal - Website channel</t>
        </is>
      </c>
    </row>
    <row r="287" ht="15" customHeight="1" s="77">
      <c r="A287" s="117" t="inlineStr">
        <is>
          <t>2025-05-07</t>
        </is>
      </c>
      <c r="B287" s="117" t="inlineStr">
        <is>
          <t>May</t>
        </is>
      </c>
      <c r="C287" s="117" t="inlineStr">
        <is>
          <t>Carlos Ruiz</t>
        </is>
      </c>
      <c r="D287" s="117" t="inlineStr">
        <is>
          <t>International</t>
        </is>
      </c>
      <c r="E287" s="117" t="inlineStr">
        <is>
          <t>Product F</t>
        </is>
      </c>
      <c r="F287" s="117" t="inlineStr">
        <is>
          <t>Enterprise</t>
        </is>
      </c>
      <c r="G287" s="118" t="n">
        <v>36</v>
      </c>
      <c r="H287" s="119" t="n">
        <v>899964</v>
      </c>
      <c r="I287" s="119" t="n">
        <v>969911</v>
      </c>
      <c r="J287" s="119" t="n">
        <v>932150</v>
      </c>
      <c r="K287" s="117" t="inlineStr">
        <is>
          <t>In Progress</t>
        </is>
      </c>
      <c r="L287" s="140" t="n">
        <v>24</v>
      </c>
      <c r="M287" s="117" t="inlineStr">
        <is>
          <t>Zeta Corp</t>
        </is>
      </c>
      <c r="N287" s="117" t="inlineStr">
        <is>
          <t>Enterprise (&gt;$200K)</t>
        </is>
      </c>
      <c r="O287" s="117" t="inlineStr">
        <is>
          <t>Partner</t>
        </is>
      </c>
      <c r="P287" s="119">
        <f>H287*0.08</f>
        <v/>
      </c>
      <c r="Q287" s="139" t="n">
        <v>0.15</v>
      </c>
      <c r="R287" s="117" t="inlineStr">
        <is>
          <t>Q2 deal - Partner channel</t>
        </is>
      </c>
    </row>
    <row r="288" ht="15" customHeight="1" s="77">
      <c r="A288" s="108" t="inlineStr">
        <is>
          <t>2025-07-27</t>
        </is>
      </c>
      <c r="B288" s="108" t="inlineStr">
        <is>
          <t>July</t>
        </is>
      </c>
      <c r="C288" s="108" t="inlineStr">
        <is>
          <t>Lisa Park</t>
        </is>
      </c>
      <c r="D288" s="108" t="inlineStr">
        <is>
          <t>North</t>
        </is>
      </c>
      <c r="E288" s="108" t="inlineStr">
        <is>
          <t>Product G</t>
        </is>
      </c>
      <c r="F288" s="108" t="inlineStr">
        <is>
          <t>SMB</t>
        </is>
      </c>
      <c r="G288" s="109" t="n">
        <v>19</v>
      </c>
      <c r="H288" s="110" t="n">
        <v>189981</v>
      </c>
      <c r="I288" s="110" t="n">
        <v>226863</v>
      </c>
      <c r="J288" s="110" t="n">
        <v>171408</v>
      </c>
      <c r="K288" s="108" t="inlineStr">
        <is>
          <t>Won</t>
        </is>
      </c>
      <c r="L288" s="138" t="n">
        <v>24</v>
      </c>
      <c r="M288" s="108" t="inlineStr">
        <is>
          <t>Eta Inc</t>
        </is>
      </c>
      <c r="N288" s="108" t="inlineStr">
        <is>
          <t>Large ($50K-$200K)</t>
        </is>
      </c>
      <c r="O288" s="108" t="inlineStr">
        <is>
          <t>Email Campaign</t>
        </is>
      </c>
      <c r="P288" s="110">
        <f>H288*0.08</f>
        <v/>
      </c>
      <c r="Q288" s="137" t="n">
        <v>0.02</v>
      </c>
      <c r="R288" s="108" t="inlineStr">
        <is>
          <t>Q3 deal - Email Campaign channel</t>
        </is>
      </c>
    </row>
    <row r="289" ht="15" customHeight="1" s="77">
      <c r="A289" s="117" t="inlineStr">
        <is>
          <t>2025-11-15</t>
        </is>
      </c>
      <c r="B289" s="117" t="inlineStr">
        <is>
          <t>November</t>
        </is>
      </c>
      <c r="C289" s="117" t="inlineStr">
        <is>
          <t>Tom Brown</t>
        </is>
      </c>
      <c r="D289" s="117" t="inlineStr">
        <is>
          <t>West</t>
        </is>
      </c>
      <c r="E289" s="117" t="inlineStr">
        <is>
          <t>Product H</t>
        </is>
      </c>
      <c r="F289" s="117" t="inlineStr">
        <is>
          <t>Mid-Market</t>
        </is>
      </c>
      <c r="G289" s="118" t="n">
        <v>43</v>
      </c>
      <c r="H289" s="119" t="n">
        <v>343957</v>
      </c>
      <c r="I289" s="119" t="n">
        <v>403705</v>
      </c>
      <c r="J289" s="119" t="n">
        <v>349589</v>
      </c>
      <c r="K289" s="117" t="inlineStr">
        <is>
          <t>Won</t>
        </is>
      </c>
      <c r="L289" s="140" t="n">
        <v>34</v>
      </c>
      <c r="M289" s="117" t="inlineStr">
        <is>
          <t>Theta LLC</t>
        </is>
      </c>
      <c r="N289" s="117" t="inlineStr">
        <is>
          <t>Enterprise (&gt;$200K)</t>
        </is>
      </c>
      <c r="O289" s="117" t="inlineStr">
        <is>
          <t>Webinar</t>
        </is>
      </c>
      <c r="P289" s="119">
        <f>H289*0.08</f>
        <v/>
      </c>
      <c r="Q289" s="139" t="n">
        <v>0.04</v>
      </c>
      <c r="R289" s="117" t="inlineStr">
        <is>
          <t>Q4 deal - Webinar channel</t>
        </is>
      </c>
    </row>
    <row r="290" ht="15" customHeight="1" s="77">
      <c r="A290" s="108" t="inlineStr">
        <is>
          <t>2025-02-18</t>
        </is>
      </c>
      <c r="B290" s="108" t="inlineStr">
        <is>
          <t>February</t>
        </is>
      </c>
      <c r="C290" s="108" t="inlineStr">
        <is>
          <t>Anna Schmidt</t>
        </is>
      </c>
      <c r="D290" s="108" t="inlineStr">
        <is>
          <t>East</t>
        </is>
      </c>
      <c r="E290" s="108" t="inlineStr">
        <is>
          <t>Product I</t>
        </is>
      </c>
      <c r="F290" s="108" t="inlineStr">
        <is>
          <t>Startup</t>
        </is>
      </c>
      <c r="G290" s="109" t="n">
        <v>3</v>
      </c>
      <c r="H290" s="110" t="n">
        <v>149997</v>
      </c>
      <c r="I290" s="110" t="n">
        <v>140684</v>
      </c>
      <c r="J290" s="110" t="n">
        <v>153928</v>
      </c>
      <c r="K290" s="108" t="inlineStr">
        <is>
          <t>Won</t>
        </is>
      </c>
      <c r="L290" s="138" t="n">
        <v>83</v>
      </c>
      <c r="M290" s="108" t="inlineStr">
        <is>
          <t>Iota Ltd</t>
        </is>
      </c>
      <c r="N290" s="108" t="inlineStr">
        <is>
          <t>Large ($50K-$200K)</t>
        </is>
      </c>
      <c r="O290" s="108" t="inlineStr">
        <is>
          <t>SEO</t>
        </is>
      </c>
      <c r="P290" s="110">
        <f>H290*0.08</f>
        <v/>
      </c>
      <c r="Q290" s="137" t="n">
        <v>0.06</v>
      </c>
      <c r="R290" s="108" t="inlineStr">
        <is>
          <t>Q1 deal - SEO channel</t>
        </is>
      </c>
    </row>
    <row r="291" ht="15" customHeight="1" s="77">
      <c r="A291" s="117" t="inlineStr">
        <is>
          <t>2025-12-25</t>
        </is>
      </c>
      <c r="B291" s="117" t="inlineStr">
        <is>
          <t>December</t>
        </is>
      </c>
      <c r="C291" s="117" t="inlineStr">
        <is>
          <t>David Kim</t>
        </is>
      </c>
      <c r="D291" s="117" t="inlineStr">
        <is>
          <t>South</t>
        </is>
      </c>
      <c r="E291" s="117" t="inlineStr">
        <is>
          <t>Product J</t>
        </is>
      </c>
      <c r="F291" s="117" t="inlineStr">
        <is>
          <t>Government</t>
        </is>
      </c>
      <c r="G291" s="118" t="n">
        <v>6</v>
      </c>
      <c r="H291" s="119" t="n">
        <v>29994</v>
      </c>
      <c r="I291" s="119" t="n">
        <v>28446</v>
      </c>
      <c r="J291" s="119" t="n">
        <v>28078</v>
      </c>
      <c r="K291" s="117" t="inlineStr">
        <is>
          <t>Won</t>
        </is>
      </c>
      <c r="L291" s="140" t="n">
        <v>94</v>
      </c>
      <c r="M291" s="117" t="inlineStr">
        <is>
          <t>Kappa Co</t>
        </is>
      </c>
      <c r="N291" s="117" t="inlineStr">
        <is>
          <t>Medium ($10K-$50K)</t>
        </is>
      </c>
      <c r="O291" s="117" t="inlineStr">
        <is>
          <t>Direct</t>
        </is>
      </c>
      <c r="P291" s="119">
        <f>H291*0.08</f>
        <v/>
      </c>
      <c r="Q291" s="139" t="n">
        <v>0.13</v>
      </c>
      <c r="R291" s="117" t="inlineStr">
        <is>
          <t>Q2 deal - Direct channel</t>
        </is>
      </c>
    </row>
    <row r="292" ht="15" customHeight="1" s="77">
      <c r="A292" s="108" t="inlineStr">
        <is>
          <t>2025-09-17</t>
        </is>
      </c>
      <c r="B292" s="108" t="inlineStr">
        <is>
          <t>September</t>
        </is>
      </c>
      <c r="C292" s="108" t="inlineStr">
        <is>
          <t>Rachel Green</t>
        </is>
      </c>
      <c r="D292" s="108" t="inlineStr">
        <is>
          <t>Central</t>
        </is>
      </c>
      <c r="E292" s="108" t="inlineStr">
        <is>
          <t>Product A</t>
        </is>
      </c>
      <c r="F292" s="108" t="inlineStr">
        <is>
          <t>Enterprise</t>
        </is>
      </c>
      <c r="G292" s="109" t="n">
        <v>33</v>
      </c>
      <c r="H292" s="110" t="n">
        <v>989967</v>
      </c>
      <c r="I292" s="110" t="n">
        <v>1016816</v>
      </c>
      <c r="J292" s="110" t="n">
        <v>1069271</v>
      </c>
      <c r="K292" s="108" t="inlineStr">
        <is>
          <t>Lost</t>
        </is>
      </c>
      <c r="L292" s="138" t="n">
        <v>70</v>
      </c>
      <c r="M292" s="108" t="inlineStr">
        <is>
          <t>Lambda Corp</t>
        </is>
      </c>
      <c r="N292" s="108" t="inlineStr">
        <is>
          <t>Enterprise (&gt;$200K)</t>
        </is>
      </c>
      <c r="O292" s="108" t="inlineStr">
        <is>
          <t>Referral</t>
        </is>
      </c>
      <c r="P292" s="110">
        <f>H292*0.08</f>
        <v/>
      </c>
      <c r="Q292" s="137" t="n">
        <v>0</v>
      </c>
      <c r="R292" s="108" t="inlineStr">
        <is>
          <t>Q3 deal - Referral channel</t>
        </is>
      </c>
    </row>
    <row r="293" ht="15" customHeight="1" s="77">
      <c r="A293" s="117" t="inlineStr">
        <is>
          <t>2025-04-29</t>
        </is>
      </c>
      <c r="B293" s="117" t="inlineStr">
        <is>
          <t>April</t>
        </is>
      </c>
      <c r="C293" s="117" t="inlineStr">
        <is>
          <t>Mark Thompson</t>
        </is>
      </c>
      <c r="D293" s="117" t="inlineStr">
        <is>
          <t>International</t>
        </is>
      </c>
      <c r="E293" s="117" t="inlineStr">
        <is>
          <t>Product B</t>
        </is>
      </c>
      <c r="F293" s="117" t="inlineStr">
        <is>
          <t>SMB</t>
        </is>
      </c>
      <c r="G293" s="118" t="n">
        <v>4</v>
      </c>
      <c r="H293" s="119" t="n">
        <v>19996</v>
      </c>
      <c r="I293" s="119" t="n">
        <v>22270</v>
      </c>
      <c r="J293" s="119" t="n">
        <v>18018</v>
      </c>
      <c r="K293" s="117" t="inlineStr">
        <is>
          <t>In Progress</t>
        </is>
      </c>
      <c r="L293" s="140" t="n">
        <v>20</v>
      </c>
      <c r="M293" s="117" t="inlineStr">
        <is>
          <t>Mu Inc</t>
        </is>
      </c>
      <c r="N293" s="117" t="inlineStr">
        <is>
          <t>Medium ($10K-$50K)</t>
        </is>
      </c>
      <c r="O293" s="117" t="inlineStr">
        <is>
          <t>Cold Call</t>
        </is>
      </c>
      <c r="P293" s="119">
        <f>H293*0.08</f>
        <v/>
      </c>
      <c r="Q293" s="139" t="n">
        <v>0.14</v>
      </c>
      <c r="R293" s="117" t="inlineStr">
        <is>
          <t>Q4 deal - Cold Call channel</t>
        </is>
      </c>
    </row>
    <row r="294" ht="15" customHeight="1" s="77">
      <c r="A294" s="108" t="inlineStr">
        <is>
          <t>2025-12-20</t>
        </is>
      </c>
      <c r="B294" s="108" t="inlineStr">
        <is>
          <t>December</t>
        </is>
      </c>
      <c r="C294" s="108" t="inlineStr">
        <is>
          <t>Susan Lee</t>
        </is>
      </c>
      <c r="D294" s="108" t="inlineStr">
        <is>
          <t>North</t>
        </is>
      </c>
      <c r="E294" s="108" t="inlineStr">
        <is>
          <t>Product C</t>
        </is>
      </c>
      <c r="F294" s="108" t="inlineStr">
        <is>
          <t>Mid-Market</t>
        </is>
      </c>
      <c r="G294" s="109" t="n">
        <v>12</v>
      </c>
      <c r="H294" s="110" t="n">
        <v>359988</v>
      </c>
      <c r="I294" s="110" t="n">
        <v>375000</v>
      </c>
      <c r="J294" s="110" t="n">
        <v>314188</v>
      </c>
      <c r="K294" s="108" t="inlineStr">
        <is>
          <t>In Progress</t>
        </is>
      </c>
      <c r="L294" s="138" t="n">
        <v>90</v>
      </c>
      <c r="M294" s="108" t="inlineStr">
        <is>
          <t>Nu LLC</t>
        </is>
      </c>
      <c r="N294" s="108" t="inlineStr">
        <is>
          <t>Enterprise (&gt;$200K)</t>
        </is>
      </c>
      <c r="O294" s="108" t="inlineStr">
        <is>
          <t>LinkedIn</t>
        </is>
      </c>
      <c r="P294" s="110">
        <f>H294*0.08</f>
        <v/>
      </c>
      <c r="Q294" s="137" t="n">
        <v>0.1</v>
      </c>
      <c r="R294" s="108" t="inlineStr">
        <is>
          <t>Q1 deal - LinkedIn channel</t>
        </is>
      </c>
    </row>
    <row r="295" ht="15" customHeight="1" s="77">
      <c r="A295" s="117" t="inlineStr">
        <is>
          <t>2025-04-28</t>
        </is>
      </c>
      <c r="B295" s="117" t="inlineStr">
        <is>
          <t>April</t>
        </is>
      </c>
      <c r="C295" s="117" t="inlineStr">
        <is>
          <t>Kevin Martin</t>
        </is>
      </c>
      <c r="D295" s="117" t="inlineStr">
        <is>
          <t>West</t>
        </is>
      </c>
      <c r="E295" s="117" t="inlineStr">
        <is>
          <t>Product D</t>
        </is>
      </c>
      <c r="F295" s="117" t="inlineStr">
        <is>
          <t>Startup</t>
        </is>
      </c>
      <c r="G295" s="118" t="n">
        <v>21</v>
      </c>
      <c r="H295" s="119" t="n">
        <v>167979</v>
      </c>
      <c r="I295" s="119" t="n">
        <v>198841</v>
      </c>
      <c r="J295" s="119" t="n">
        <v>153090</v>
      </c>
      <c r="K295" s="117" t="inlineStr">
        <is>
          <t>Won</t>
        </is>
      </c>
      <c r="L295" s="140" t="n">
        <v>88</v>
      </c>
      <c r="M295" s="117" t="inlineStr">
        <is>
          <t>Xi Ltd</t>
        </is>
      </c>
      <c r="N295" s="117" t="inlineStr">
        <is>
          <t>Large ($50K-$200K)</t>
        </is>
      </c>
      <c r="O295" s="117" t="inlineStr">
        <is>
          <t>Trade Show</t>
        </is>
      </c>
      <c r="P295" s="119">
        <f>H295*0.08</f>
        <v/>
      </c>
      <c r="Q295" s="139" t="n">
        <v>0.03</v>
      </c>
      <c r="R295" s="117" t="inlineStr">
        <is>
          <t>Q2 deal - Trade Show channel</t>
        </is>
      </c>
    </row>
    <row r="296" ht="15" customHeight="1" s="77">
      <c r="A296" s="108" t="inlineStr">
        <is>
          <t>2025-02-28</t>
        </is>
      </c>
      <c r="B296" s="108" t="inlineStr">
        <is>
          <t>February</t>
        </is>
      </c>
      <c r="C296" s="108" t="inlineStr">
        <is>
          <t>Nina Patel</t>
        </is>
      </c>
      <c r="D296" s="108" t="inlineStr">
        <is>
          <t>East</t>
        </is>
      </c>
      <c r="E296" s="108" t="inlineStr">
        <is>
          <t>Product E</t>
        </is>
      </c>
      <c r="F296" s="108" t="inlineStr">
        <is>
          <t>Government</t>
        </is>
      </c>
      <c r="G296" s="109" t="n">
        <v>12</v>
      </c>
      <c r="H296" s="110" t="n">
        <v>239988</v>
      </c>
      <c r="I296" s="110" t="n">
        <v>248106</v>
      </c>
      <c r="J296" s="110" t="n">
        <v>247243</v>
      </c>
      <c r="K296" s="108" t="inlineStr">
        <is>
          <t>Won</t>
        </is>
      </c>
      <c r="L296" s="138" t="n">
        <v>65</v>
      </c>
      <c r="M296" s="108" t="inlineStr">
        <is>
          <t>Pi Co</t>
        </is>
      </c>
      <c r="N296" s="108" t="inlineStr">
        <is>
          <t>Enterprise (&gt;$200K)</t>
        </is>
      </c>
      <c r="O296" s="108" t="inlineStr">
        <is>
          <t>Website</t>
        </is>
      </c>
      <c r="P296" s="110">
        <f>H296*0.08</f>
        <v/>
      </c>
      <c r="Q296" s="137" t="n">
        <v>0.12</v>
      </c>
      <c r="R296" s="108" t="inlineStr">
        <is>
          <t>Q3 deal - Website channel</t>
        </is>
      </c>
    </row>
    <row r="297" ht="15" customHeight="1" s="77">
      <c r="A297" s="117" t="inlineStr">
        <is>
          <t>2025-01-16</t>
        </is>
      </c>
      <c r="B297" s="117" t="inlineStr">
        <is>
          <t>January</t>
        </is>
      </c>
      <c r="C297" s="117" t="inlineStr">
        <is>
          <t>Chris Wilson</t>
        </is>
      </c>
      <c r="D297" s="117" t="inlineStr">
        <is>
          <t>South</t>
        </is>
      </c>
      <c r="E297" s="117" t="inlineStr">
        <is>
          <t>Product F</t>
        </is>
      </c>
      <c r="F297" s="117" t="inlineStr">
        <is>
          <t>Enterprise</t>
        </is>
      </c>
      <c r="G297" s="118" t="n">
        <v>47</v>
      </c>
      <c r="H297" s="119" t="n">
        <v>939953</v>
      </c>
      <c r="I297" s="119" t="n">
        <v>859055</v>
      </c>
      <c r="J297" s="119" t="n">
        <v>896016</v>
      </c>
      <c r="K297" s="117" t="inlineStr">
        <is>
          <t>Won</t>
        </is>
      </c>
      <c r="L297" s="140" t="n">
        <v>36</v>
      </c>
      <c r="M297" s="117" t="inlineStr">
        <is>
          <t>Rho Corp</t>
        </is>
      </c>
      <c r="N297" s="117" t="inlineStr">
        <is>
          <t>Enterprise (&gt;$200K)</t>
        </is>
      </c>
      <c r="O297" s="117" t="inlineStr">
        <is>
          <t>Partner</t>
        </is>
      </c>
      <c r="P297" s="119">
        <f>H297*0.08</f>
        <v/>
      </c>
      <c r="Q297" s="139" t="n">
        <v>0.09</v>
      </c>
      <c r="R297" s="117" t="inlineStr">
        <is>
          <t>Q4 deal - Partner channel</t>
        </is>
      </c>
    </row>
    <row r="298" ht="15" customHeight="1" s="77">
      <c r="A298" s="108" t="inlineStr">
        <is>
          <t>2025-12-27</t>
        </is>
      </c>
      <c r="B298" s="108" t="inlineStr">
        <is>
          <t>December</t>
        </is>
      </c>
      <c r="C298" s="108" t="inlineStr">
        <is>
          <t>Amanda Foster</t>
        </is>
      </c>
      <c r="D298" s="108" t="inlineStr">
        <is>
          <t>Central</t>
        </is>
      </c>
      <c r="E298" s="108" t="inlineStr">
        <is>
          <t>Product G</t>
        </is>
      </c>
      <c r="F298" s="108" t="inlineStr">
        <is>
          <t>SMB</t>
        </is>
      </c>
      <c r="G298" s="109" t="n">
        <v>10</v>
      </c>
      <c r="H298" s="110" t="n">
        <v>49990</v>
      </c>
      <c r="I298" s="110" t="n">
        <v>55649</v>
      </c>
      <c r="J298" s="110" t="n">
        <v>43841</v>
      </c>
      <c r="K298" s="108" t="inlineStr">
        <is>
          <t>Won</t>
        </is>
      </c>
      <c r="L298" s="138" t="n">
        <v>58</v>
      </c>
      <c r="M298" s="108" t="inlineStr">
        <is>
          <t>Sigma Inc</t>
        </is>
      </c>
      <c r="N298" s="108" t="inlineStr">
        <is>
          <t>Medium ($10K-$50K)</t>
        </is>
      </c>
      <c r="O298" s="108" t="inlineStr">
        <is>
          <t>Email Campaign</t>
        </is>
      </c>
      <c r="P298" s="110">
        <f>H298*0.08</f>
        <v/>
      </c>
      <c r="Q298" s="137" t="n">
        <v>0.01</v>
      </c>
      <c r="R298" s="108" t="inlineStr">
        <is>
          <t>Q1 deal - Email Campaign channel</t>
        </is>
      </c>
    </row>
    <row r="299" ht="15" customHeight="1" s="77">
      <c r="A299" s="117" t="inlineStr">
        <is>
          <t>2025-01-11</t>
        </is>
      </c>
      <c r="B299" s="117" t="inlineStr">
        <is>
          <t>January</t>
        </is>
      </c>
      <c r="C299" s="117" t="inlineStr">
        <is>
          <t>Robert Taylor</t>
        </is>
      </c>
      <c r="D299" s="117" t="inlineStr">
        <is>
          <t>International</t>
        </is>
      </c>
      <c r="E299" s="117" t="inlineStr">
        <is>
          <t>Product H</t>
        </is>
      </c>
      <c r="F299" s="117" t="inlineStr">
        <is>
          <t>Mid-Market</t>
        </is>
      </c>
      <c r="G299" s="118" t="n">
        <v>18</v>
      </c>
      <c r="H299" s="119" t="n">
        <v>269982</v>
      </c>
      <c r="I299" s="119" t="n">
        <v>300429</v>
      </c>
      <c r="J299" s="119" t="n">
        <v>272611</v>
      </c>
      <c r="K299" s="117" t="inlineStr">
        <is>
          <t>Lost</t>
        </is>
      </c>
      <c r="L299" s="140" t="n">
        <v>74</v>
      </c>
      <c r="M299" s="117" t="inlineStr">
        <is>
          <t>Tau LLC</t>
        </is>
      </c>
      <c r="N299" s="117" t="inlineStr">
        <is>
          <t>Enterprise (&gt;$200K)</t>
        </is>
      </c>
      <c r="O299" s="117" t="inlineStr">
        <is>
          <t>Webinar</t>
        </is>
      </c>
      <c r="P299" s="119">
        <f>H299*0.08</f>
        <v/>
      </c>
      <c r="Q299" s="139" t="n">
        <v>0.06</v>
      </c>
      <c r="R299" s="117" t="inlineStr">
        <is>
          <t>Q2 deal - Webinar channel</t>
        </is>
      </c>
    </row>
    <row r="300" ht="15" customHeight="1" s="77">
      <c r="A300" s="108" t="inlineStr">
        <is>
          <t>2025-03-29</t>
        </is>
      </c>
      <c r="B300" s="108" t="inlineStr">
        <is>
          <t>March</t>
        </is>
      </c>
      <c r="C300" s="108" t="inlineStr">
        <is>
          <t>Jennifer Moore</t>
        </is>
      </c>
      <c r="D300" s="108" t="inlineStr">
        <is>
          <t>North</t>
        </is>
      </c>
      <c r="E300" s="108" t="inlineStr">
        <is>
          <t>Product I</t>
        </is>
      </c>
      <c r="F300" s="108" t="inlineStr">
        <is>
          <t>Startup</t>
        </is>
      </c>
      <c r="G300" s="109" t="n">
        <v>36</v>
      </c>
      <c r="H300" s="110" t="n">
        <v>1799964</v>
      </c>
      <c r="I300" s="110" t="n">
        <v>2048220</v>
      </c>
      <c r="J300" s="110" t="n">
        <v>1862910</v>
      </c>
      <c r="K300" s="108" t="inlineStr">
        <is>
          <t>In Progress</t>
        </is>
      </c>
      <c r="L300" s="138" t="n">
        <v>35</v>
      </c>
      <c r="M300" s="108" t="inlineStr">
        <is>
          <t>Upsilon Ltd</t>
        </is>
      </c>
      <c r="N300" s="108" t="inlineStr">
        <is>
          <t>Enterprise (&gt;$200K)</t>
        </is>
      </c>
      <c r="O300" s="108" t="inlineStr">
        <is>
          <t>SEO</t>
        </is>
      </c>
      <c r="P300" s="110">
        <f>H300*0.08</f>
        <v/>
      </c>
      <c r="Q300" s="137" t="n">
        <v>0.06</v>
      </c>
      <c r="R300" s="108" t="inlineStr">
        <is>
          <t>Q3 deal - SEO channel</t>
        </is>
      </c>
    </row>
    <row r="301" ht="15" customHeight="1" s="77">
      <c r="A301" s="117" t="inlineStr">
        <is>
          <t>2025-04-23</t>
        </is>
      </c>
      <c r="B301" s="117" t="inlineStr">
        <is>
          <t>April</t>
        </is>
      </c>
      <c r="C301" s="117" t="inlineStr">
        <is>
          <t>Daniel Jackson</t>
        </is>
      </c>
      <c r="D301" s="117" t="inlineStr">
        <is>
          <t>West</t>
        </is>
      </c>
      <c r="E301" s="117" t="inlineStr">
        <is>
          <t>Product J</t>
        </is>
      </c>
      <c r="F301" s="117" t="inlineStr">
        <is>
          <t>Government</t>
        </is>
      </c>
      <c r="G301" s="118" t="n">
        <v>1</v>
      </c>
      <c r="H301" s="119" t="n">
        <v>19999</v>
      </c>
      <c r="I301" s="119" t="n">
        <v>19460</v>
      </c>
      <c r="J301" s="119" t="n">
        <v>17277</v>
      </c>
      <c r="K301" s="117" t="inlineStr">
        <is>
          <t>In Progress</t>
        </is>
      </c>
      <c r="L301" s="140" t="n">
        <v>29</v>
      </c>
      <c r="M301" s="117" t="inlineStr">
        <is>
          <t>Phi Co</t>
        </is>
      </c>
      <c r="N301" s="117" t="inlineStr">
        <is>
          <t>Medium ($10K-$50K)</t>
        </is>
      </c>
      <c r="O301" s="117" t="inlineStr">
        <is>
          <t>Direct</t>
        </is>
      </c>
      <c r="P301" s="119">
        <f>H301*0.08</f>
        <v/>
      </c>
      <c r="Q301" s="139" t="n">
        <v>0.06</v>
      </c>
      <c r="R301" s="117" t="inlineStr">
        <is>
          <t>Q4 deal - Direct channel</t>
        </is>
      </c>
    </row>
    <row r="302" ht="15" customHeight="1" s="77">
      <c r="A302" s="108" t="inlineStr">
        <is>
          <t>2025-08-27</t>
        </is>
      </c>
      <c r="B302" s="108" t="inlineStr">
        <is>
          <t>August</t>
        </is>
      </c>
      <c r="C302" s="108" t="inlineStr">
        <is>
          <t>Sarah Johnson</t>
        </is>
      </c>
      <c r="D302" s="108" t="inlineStr">
        <is>
          <t>North</t>
        </is>
      </c>
      <c r="E302" s="108" t="inlineStr">
        <is>
          <t>Product A</t>
        </is>
      </c>
      <c r="F302" s="108" t="inlineStr">
        <is>
          <t>Enterprise</t>
        </is>
      </c>
      <c r="G302" s="109" t="n">
        <v>45</v>
      </c>
      <c r="H302" s="110" t="n">
        <v>359955</v>
      </c>
      <c r="I302" s="110" t="n">
        <v>331738</v>
      </c>
      <c r="J302" s="110" t="n">
        <v>392484</v>
      </c>
      <c r="K302" s="108" t="inlineStr">
        <is>
          <t>Won</t>
        </is>
      </c>
      <c r="L302" s="138" t="n">
        <v>59</v>
      </c>
      <c r="M302" s="108" t="inlineStr">
        <is>
          <t>Acme Corp</t>
        </is>
      </c>
      <c r="N302" s="108" t="inlineStr">
        <is>
          <t>Enterprise (&gt;$200K)</t>
        </is>
      </c>
      <c r="O302" s="108" t="inlineStr">
        <is>
          <t>Referral</t>
        </is>
      </c>
      <c r="P302" s="110">
        <f>H302*0.08</f>
        <v/>
      </c>
      <c r="Q302" s="137" t="n">
        <v>0.01</v>
      </c>
      <c r="R302" s="108" t="inlineStr">
        <is>
          <t>Q1 deal - Referral channel</t>
        </is>
      </c>
    </row>
    <row r="303" ht="15" customHeight="1" s="77">
      <c r="A303" s="117" t="inlineStr">
        <is>
          <t>2025-12-25</t>
        </is>
      </c>
      <c r="B303" s="117" t="inlineStr">
        <is>
          <t>December</t>
        </is>
      </c>
      <c r="C303" s="117" t="inlineStr">
        <is>
          <t>Mike Chen</t>
        </is>
      </c>
      <c r="D303" s="117" t="inlineStr">
        <is>
          <t>West</t>
        </is>
      </c>
      <c r="E303" s="117" t="inlineStr">
        <is>
          <t>Product B</t>
        </is>
      </c>
      <c r="F303" s="117" t="inlineStr">
        <is>
          <t>SMB</t>
        </is>
      </c>
      <c r="G303" s="118" t="n">
        <v>20</v>
      </c>
      <c r="H303" s="119" t="n">
        <v>399980</v>
      </c>
      <c r="I303" s="119" t="n">
        <v>462560</v>
      </c>
      <c r="J303" s="119" t="n">
        <v>419040</v>
      </c>
      <c r="K303" s="117" t="inlineStr">
        <is>
          <t>Won</t>
        </is>
      </c>
      <c r="L303" s="140" t="n">
        <v>38</v>
      </c>
      <c r="M303" s="117" t="inlineStr">
        <is>
          <t>Beta Inc</t>
        </is>
      </c>
      <c r="N303" s="117" t="inlineStr">
        <is>
          <t>Enterprise (&gt;$200K)</t>
        </is>
      </c>
      <c r="O303" s="117" t="inlineStr">
        <is>
          <t>Cold Call</t>
        </is>
      </c>
      <c r="P303" s="119">
        <f>H303*0.08</f>
        <v/>
      </c>
      <c r="Q303" s="139" t="n">
        <v>0.08</v>
      </c>
      <c r="R303" s="117" t="inlineStr">
        <is>
          <t>Q2 deal - Cold Call channel</t>
        </is>
      </c>
    </row>
    <row r="304" ht="15" customHeight="1" s="77">
      <c r="A304" s="108" t="inlineStr">
        <is>
          <t>2025-10-09</t>
        </is>
      </c>
      <c r="B304" s="108" t="inlineStr">
        <is>
          <t>October</t>
        </is>
      </c>
      <c r="C304" s="108" t="inlineStr">
        <is>
          <t>Priya Sharma</t>
        </is>
      </c>
      <c r="D304" s="108" t="inlineStr">
        <is>
          <t>East</t>
        </is>
      </c>
      <c r="E304" s="108" t="inlineStr">
        <is>
          <t>Product C</t>
        </is>
      </c>
      <c r="F304" s="108" t="inlineStr">
        <is>
          <t>Mid-Market</t>
        </is>
      </c>
      <c r="G304" s="109" t="n">
        <v>35</v>
      </c>
      <c r="H304" s="110" t="n">
        <v>1749965</v>
      </c>
      <c r="I304" s="110" t="n">
        <v>2098673</v>
      </c>
      <c r="J304" s="110" t="n">
        <v>1704942</v>
      </c>
      <c r="K304" s="108" t="inlineStr">
        <is>
          <t>Won</t>
        </is>
      </c>
      <c r="L304" s="138" t="n">
        <v>77</v>
      </c>
      <c r="M304" s="108" t="inlineStr">
        <is>
          <t>Gamma LLC</t>
        </is>
      </c>
      <c r="N304" s="108" t="inlineStr">
        <is>
          <t>Enterprise (&gt;$200K)</t>
        </is>
      </c>
      <c r="O304" s="108" t="inlineStr">
        <is>
          <t>LinkedIn</t>
        </is>
      </c>
      <c r="P304" s="110">
        <f>H304*0.08</f>
        <v/>
      </c>
      <c r="Q304" s="137" t="n">
        <v>0.07000000000000001</v>
      </c>
      <c r="R304" s="108" t="inlineStr">
        <is>
          <t>Q3 deal - LinkedIn channel</t>
        </is>
      </c>
    </row>
    <row r="305" ht="15" customHeight="1" s="77">
      <c r="A305" s="117" t="inlineStr">
        <is>
          <t>2025-06-17</t>
        </is>
      </c>
      <c r="B305" s="117" t="inlineStr">
        <is>
          <t>June</t>
        </is>
      </c>
      <c r="C305" s="117" t="inlineStr">
        <is>
          <t>James Williams</t>
        </is>
      </c>
      <c r="D305" s="117" t="inlineStr">
        <is>
          <t>South</t>
        </is>
      </c>
      <c r="E305" s="117" t="inlineStr">
        <is>
          <t>Product D</t>
        </is>
      </c>
      <c r="F305" s="117" t="inlineStr">
        <is>
          <t>Startup</t>
        </is>
      </c>
      <c r="G305" s="118" t="n">
        <v>43</v>
      </c>
      <c r="H305" s="119" t="n">
        <v>644957</v>
      </c>
      <c r="I305" s="119" t="n">
        <v>606672</v>
      </c>
      <c r="J305" s="119" t="n">
        <v>606826</v>
      </c>
      <c r="K305" s="117" t="inlineStr">
        <is>
          <t>Won</t>
        </is>
      </c>
      <c r="L305" s="140" t="n">
        <v>93</v>
      </c>
      <c r="M305" s="117" t="inlineStr">
        <is>
          <t>Delta Ltd</t>
        </is>
      </c>
      <c r="N305" s="117" t="inlineStr">
        <is>
          <t>Enterprise (&gt;$200K)</t>
        </is>
      </c>
      <c r="O305" s="117" t="inlineStr">
        <is>
          <t>Trade Show</t>
        </is>
      </c>
      <c r="P305" s="119">
        <f>H305*0.08</f>
        <v/>
      </c>
      <c r="Q305" s="139" t="n">
        <v>0.11</v>
      </c>
      <c r="R305" s="117" t="inlineStr">
        <is>
          <t>Q4 deal - Trade Show channel</t>
        </is>
      </c>
    </row>
    <row r="306" ht="15" customHeight="1" s="77">
      <c r="A306" s="108" t="inlineStr">
        <is>
          <t>2025-01-24</t>
        </is>
      </c>
      <c r="B306" s="108" t="inlineStr">
        <is>
          <t>January</t>
        </is>
      </c>
      <c r="C306" s="108" t="inlineStr">
        <is>
          <t>Emily Davis</t>
        </is>
      </c>
      <c r="D306" s="108" t="inlineStr">
        <is>
          <t>Central</t>
        </is>
      </c>
      <c r="E306" s="108" t="inlineStr">
        <is>
          <t>Product E</t>
        </is>
      </c>
      <c r="F306" s="108" t="inlineStr">
        <is>
          <t>Government</t>
        </is>
      </c>
      <c r="G306" s="109" t="n">
        <v>26</v>
      </c>
      <c r="H306" s="110" t="n">
        <v>649974</v>
      </c>
      <c r="I306" s="110" t="n">
        <v>600701</v>
      </c>
      <c r="J306" s="110" t="n">
        <v>630833</v>
      </c>
      <c r="K306" s="108" t="inlineStr">
        <is>
          <t>Lost</t>
        </is>
      </c>
      <c r="L306" s="138" t="n">
        <v>110</v>
      </c>
      <c r="M306" s="108" t="inlineStr">
        <is>
          <t>Epsilon Co</t>
        </is>
      </c>
      <c r="N306" s="108" t="inlineStr">
        <is>
          <t>Enterprise (&gt;$200K)</t>
        </is>
      </c>
      <c r="O306" s="108" t="inlineStr">
        <is>
          <t>Website</t>
        </is>
      </c>
      <c r="P306" s="110">
        <f>H306*0.08</f>
        <v/>
      </c>
      <c r="Q306" s="137" t="n">
        <v>0.12</v>
      </c>
      <c r="R306" s="108" t="inlineStr">
        <is>
          <t>Q1 deal - Website channel</t>
        </is>
      </c>
    </row>
    <row r="307" ht="15" customHeight="1" s="77">
      <c r="A307" s="117" t="inlineStr">
        <is>
          <t>2025-03-12</t>
        </is>
      </c>
      <c r="B307" s="117" t="inlineStr">
        <is>
          <t>March</t>
        </is>
      </c>
      <c r="C307" s="117" t="inlineStr">
        <is>
          <t>Carlos Ruiz</t>
        </is>
      </c>
      <c r="D307" s="117" t="inlineStr">
        <is>
          <t>International</t>
        </is>
      </c>
      <c r="E307" s="117" t="inlineStr">
        <is>
          <t>Product F</t>
        </is>
      </c>
      <c r="F307" s="117" t="inlineStr">
        <is>
          <t>Enterprise</t>
        </is>
      </c>
      <c r="G307" s="118" t="n">
        <v>47</v>
      </c>
      <c r="H307" s="119" t="n">
        <v>704953</v>
      </c>
      <c r="I307" s="119" t="n">
        <v>691148</v>
      </c>
      <c r="J307" s="119" t="n">
        <v>770262</v>
      </c>
      <c r="K307" s="117" t="inlineStr">
        <is>
          <t>In Progress</t>
        </is>
      </c>
      <c r="L307" s="140" t="n">
        <v>15</v>
      </c>
      <c r="M307" s="117" t="inlineStr">
        <is>
          <t>Zeta Corp</t>
        </is>
      </c>
      <c r="N307" s="117" t="inlineStr">
        <is>
          <t>Enterprise (&gt;$200K)</t>
        </is>
      </c>
      <c r="O307" s="117" t="inlineStr">
        <is>
          <t>Partner</t>
        </is>
      </c>
      <c r="P307" s="119">
        <f>H307*0.08</f>
        <v/>
      </c>
      <c r="Q307" s="139" t="n">
        <v>0.12</v>
      </c>
      <c r="R307" s="117" t="inlineStr">
        <is>
          <t>Q2 deal - Partner channel</t>
        </is>
      </c>
    </row>
    <row r="308" ht="15" customHeight="1" s="77">
      <c r="A308" s="108" t="inlineStr">
        <is>
          <t>2025-01-03</t>
        </is>
      </c>
      <c r="B308" s="108" t="inlineStr">
        <is>
          <t>January</t>
        </is>
      </c>
      <c r="C308" s="108" t="inlineStr">
        <is>
          <t>Lisa Park</t>
        </is>
      </c>
      <c r="D308" s="108" t="inlineStr">
        <is>
          <t>North</t>
        </is>
      </c>
      <c r="E308" s="108" t="inlineStr">
        <is>
          <t>Product G</t>
        </is>
      </c>
      <c r="F308" s="108" t="inlineStr">
        <is>
          <t>SMB</t>
        </is>
      </c>
      <c r="G308" s="109" t="n">
        <v>48</v>
      </c>
      <c r="H308" s="110" t="n">
        <v>479952</v>
      </c>
      <c r="I308" s="110" t="n">
        <v>493615</v>
      </c>
      <c r="J308" s="110" t="n">
        <v>417764</v>
      </c>
      <c r="K308" s="108" t="inlineStr">
        <is>
          <t>In Progress</t>
        </is>
      </c>
      <c r="L308" s="138" t="n">
        <v>95</v>
      </c>
      <c r="M308" s="108" t="inlineStr">
        <is>
          <t>Eta Inc</t>
        </is>
      </c>
      <c r="N308" s="108" t="inlineStr">
        <is>
          <t>Enterprise (&gt;$200K)</t>
        </is>
      </c>
      <c r="O308" s="108" t="inlineStr">
        <is>
          <t>Email Campaign</t>
        </is>
      </c>
      <c r="P308" s="110">
        <f>H308*0.08</f>
        <v/>
      </c>
      <c r="Q308" s="137" t="n">
        <v>0.09</v>
      </c>
      <c r="R308" s="108" t="inlineStr">
        <is>
          <t>Q3 deal - Email Campaign channel</t>
        </is>
      </c>
    </row>
    <row r="309" ht="15" customHeight="1" s="77">
      <c r="A309" s="117" t="inlineStr">
        <is>
          <t>2025-10-28</t>
        </is>
      </c>
      <c r="B309" s="117" t="inlineStr">
        <is>
          <t>October</t>
        </is>
      </c>
      <c r="C309" s="117" t="inlineStr">
        <is>
          <t>Tom Brown</t>
        </is>
      </c>
      <c r="D309" s="117" t="inlineStr">
        <is>
          <t>West</t>
        </is>
      </c>
      <c r="E309" s="117" t="inlineStr">
        <is>
          <t>Product H</t>
        </is>
      </c>
      <c r="F309" s="117" t="inlineStr">
        <is>
          <t>Mid-Market</t>
        </is>
      </c>
      <c r="G309" s="118" t="n">
        <v>47</v>
      </c>
      <c r="H309" s="119" t="n">
        <v>704953</v>
      </c>
      <c r="I309" s="119" t="n">
        <v>789244</v>
      </c>
      <c r="J309" s="119" t="n">
        <v>746552</v>
      </c>
      <c r="K309" s="117" t="inlineStr">
        <is>
          <t>Won</t>
        </is>
      </c>
      <c r="L309" s="140" t="n">
        <v>102</v>
      </c>
      <c r="M309" s="117" t="inlineStr">
        <is>
          <t>Theta LLC</t>
        </is>
      </c>
      <c r="N309" s="117" t="inlineStr">
        <is>
          <t>Enterprise (&gt;$200K)</t>
        </is>
      </c>
      <c r="O309" s="117" t="inlineStr">
        <is>
          <t>Webinar</t>
        </is>
      </c>
      <c r="P309" s="119">
        <f>H309*0.08</f>
        <v/>
      </c>
      <c r="Q309" s="139" t="n">
        <v>0.02</v>
      </c>
      <c r="R309" s="117" t="inlineStr">
        <is>
          <t>Q4 deal - Webinar channel</t>
        </is>
      </c>
    </row>
    <row r="310" ht="15" customHeight="1" s="77">
      <c r="A310" s="108" t="inlineStr">
        <is>
          <t>2025-06-08</t>
        </is>
      </c>
      <c r="B310" s="108" t="inlineStr">
        <is>
          <t>June</t>
        </is>
      </c>
      <c r="C310" s="108" t="inlineStr">
        <is>
          <t>Anna Schmidt</t>
        </is>
      </c>
      <c r="D310" s="108" t="inlineStr">
        <is>
          <t>East</t>
        </is>
      </c>
      <c r="E310" s="108" t="inlineStr">
        <is>
          <t>Product I</t>
        </is>
      </c>
      <c r="F310" s="108" t="inlineStr">
        <is>
          <t>Startup</t>
        </is>
      </c>
      <c r="G310" s="109" t="n">
        <v>8</v>
      </c>
      <c r="H310" s="110" t="n">
        <v>399992</v>
      </c>
      <c r="I310" s="110" t="n">
        <v>437219</v>
      </c>
      <c r="J310" s="110" t="n">
        <v>348373</v>
      </c>
      <c r="K310" s="108" t="inlineStr">
        <is>
          <t>Won</t>
        </is>
      </c>
      <c r="L310" s="138" t="n">
        <v>100</v>
      </c>
      <c r="M310" s="108" t="inlineStr">
        <is>
          <t>Iota Ltd</t>
        </is>
      </c>
      <c r="N310" s="108" t="inlineStr">
        <is>
          <t>Enterprise (&gt;$200K)</t>
        </is>
      </c>
      <c r="O310" s="108" t="inlineStr">
        <is>
          <t>SEO</t>
        </is>
      </c>
      <c r="P310" s="110">
        <f>H310*0.08</f>
        <v/>
      </c>
      <c r="Q310" s="137" t="n">
        <v>0.1</v>
      </c>
      <c r="R310" s="108" t="inlineStr">
        <is>
          <t>Q1 deal - SEO channel</t>
        </is>
      </c>
    </row>
    <row r="311" ht="15" customHeight="1" s="77">
      <c r="A311" s="117" t="inlineStr">
        <is>
          <t>2025-05-05</t>
        </is>
      </c>
      <c r="B311" s="117" t="inlineStr">
        <is>
          <t>May</t>
        </is>
      </c>
      <c r="C311" s="117" t="inlineStr">
        <is>
          <t>David Kim</t>
        </is>
      </c>
      <c r="D311" s="117" t="inlineStr">
        <is>
          <t>South</t>
        </is>
      </c>
      <c r="E311" s="117" t="inlineStr">
        <is>
          <t>Product J</t>
        </is>
      </c>
      <c r="F311" s="117" t="inlineStr">
        <is>
          <t>Government</t>
        </is>
      </c>
      <c r="G311" s="118" t="n">
        <v>21</v>
      </c>
      <c r="H311" s="119" t="n">
        <v>1049979</v>
      </c>
      <c r="I311" s="119" t="n">
        <v>1079134</v>
      </c>
      <c r="J311" s="119" t="n">
        <v>895592</v>
      </c>
      <c r="K311" s="117" t="inlineStr">
        <is>
          <t>Won</t>
        </is>
      </c>
      <c r="L311" s="140" t="n">
        <v>35</v>
      </c>
      <c r="M311" s="117" t="inlineStr">
        <is>
          <t>Kappa Co</t>
        </is>
      </c>
      <c r="N311" s="117" t="inlineStr">
        <is>
          <t>Enterprise (&gt;$200K)</t>
        </is>
      </c>
      <c r="O311" s="117" t="inlineStr">
        <is>
          <t>Direct</t>
        </is>
      </c>
      <c r="P311" s="119">
        <f>H311*0.08</f>
        <v/>
      </c>
      <c r="Q311" s="139" t="n">
        <v>0.12</v>
      </c>
      <c r="R311" s="117" t="inlineStr">
        <is>
          <t>Q2 deal - Direct channel</t>
        </is>
      </c>
    </row>
    <row r="312" ht="15" customHeight="1" s="77">
      <c r="A312" s="108" t="inlineStr">
        <is>
          <t>2025-07-03</t>
        </is>
      </c>
      <c r="B312" s="108" t="inlineStr">
        <is>
          <t>July</t>
        </is>
      </c>
      <c r="C312" s="108" t="inlineStr">
        <is>
          <t>Rachel Green</t>
        </is>
      </c>
      <c r="D312" s="108" t="inlineStr">
        <is>
          <t>Central</t>
        </is>
      </c>
      <c r="E312" s="108" t="inlineStr">
        <is>
          <t>Product A</t>
        </is>
      </c>
      <c r="F312" s="108" t="inlineStr">
        <is>
          <t>Enterprise</t>
        </is>
      </c>
      <c r="G312" s="109" t="n">
        <v>42</v>
      </c>
      <c r="H312" s="110" t="n">
        <v>1049958</v>
      </c>
      <c r="I312" s="110" t="n">
        <v>1105378</v>
      </c>
      <c r="J312" s="110" t="n">
        <v>1098675</v>
      </c>
      <c r="K312" s="108" t="inlineStr">
        <is>
          <t>Won</t>
        </is>
      </c>
      <c r="L312" s="138" t="n">
        <v>114</v>
      </c>
      <c r="M312" s="108" t="inlineStr">
        <is>
          <t>Lambda Corp</t>
        </is>
      </c>
      <c r="N312" s="108" t="inlineStr">
        <is>
          <t>Enterprise (&gt;$200K)</t>
        </is>
      </c>
      <c r="O312" s="108" t="inlineStr">
        <is>
          <t>Referral</t>
        </is>
      </c>
      <c r="P312" s="110">
        <f>H312*0.08</f>
        <v/>
      </c>
      <c r="Q312" s="137" t="n">
        <v>0.07000000000000001</v>
      </c>
      <c r="R312" s="108" t="inlineStr">
        <is>
          <t>Q3 deal - Referral channel</t>
        </is>
      </c>
    </row>
    <row r="313" ht="15" customHeight="1" s="77">
      <c r="A313" s="117" t="inlineStr">
        <is>
          <t>2025-12-21</t>
        </is>
      </c>
      <c r="B313" s="117" t="inlineStr">
        <is>
          <t>December</t>
        </is>
      </c>
      <c r="C313" s="117" t="inlineStr">
        <is>
          <t>Mark Thompson</t>
        </is>
      </c>
      <c r="D313" s="117" t="inlineStr">
        <is>
          <t>International</t>
        </is>
      </c>
      <c r="E313" s="117" t="inlineStr">
        <is>
          <t>Product B</t>
        </is>
      </c>
      <c r="F313" s="117" t="inlineStr">
        <is>
          <t>SMB</t>
        </is>
      </c>
      <c r="G313" s="118" t="n">
        <v>39</v>
      </c>
      <c r="H313" s="119" t="n">
        <v>311961</v>
      </c>
      <c r="I313" s="119" t="n">
        <v>327640</v>
      </c>
      <c r="J313" s="119" t="n">
        <v>326538</v>
      </c>
      <c r="K313" s="117" t="inlineStr">
        <is>
          <t>Lost</t>
        </is>
      </c>
      <c r="L313" s="140" t="n">
        <v>21</v>
      </c>
      <c r="M313" s="117" t="inlineStr">
        <is>
          <t>Mu Inc</t>
        </is>
      </c>
      <c r="N313" s="117" t="inlineStr">
        <is>
          <t>Enterprise (&gt;$200K)</t>
        </is>
      </c>
      <c r="O313" s="117" t="inlineStr">
        <is>
          <t>Cold Call</t>
        </is>
      </c>
      <c r="P313" s="119">
        <f>H313*0.08</f>
        <v/>
      </c>
      <c r="Q313" s="139" t="n">
        <v>0.05</v>
      </c>
      <c r="R313" s="117" t="inlineStr">
        <is>
          <t>Q4 deal - Cold Call channel</t>
        </is>
      </c>
    </row>
    <row r="314" ht="15" customHeight="1" s="77">
      <c r="A314" s="108" t="inlineStr">
        <is>
          <t>2025-06-18</t>
        </is>
      </c>
      <c r="B314" s="108" t="inlineStr">
        <is>
          <t>June</t>
        </is>
      </c>
      <c r="C314" s="108" t="inlineStr">
        <is>
          <t>Susan Lee</t>
        </is>
      </c>
      <c r="D314" s="108" t="inlineStr">
        <is>
          <t>North</t>
        </is>
      </c>
      <c r="E314" s="108" t="inlineStr">
        <is>
          <t>Product C</t>
        </is>
      </c>
      <c r="F314" s="108" t="inlineStr">
        <is>
          <t>Mid-Market</t>
        </is>
      </c>
      <c r="G314" s="109" t="n">
        <v>27</v>
      </c>
      <c r="H314" s="110" t="n">
        <v>269973</v>
      </c>
      <c r="I314" s="110" t="n">
        <v>321034</v>
      </c>
      <c r="J314" s="110" t="n">
        <v>270440</v>
      </c>
      <c r="K314" s="108" t="inlineStr">
        <is>
          <t>In Progress</t>
        </is>
      </c>
      <c r="L314" s="138" t="n">
        <v>7</v>
      </c>
      <c r="M314" s="108" t="inlineStr">
        <is>
          <t>Nu LLC</t>
        </is>
      </c>
      <c r="N314" s="108" t="inlineStr">
        <is>
          <t>Enterprise (&gt;$200K)</t>
        </is>
      </c>
      <c r="O314" s="108" t="inlineStr">
        <is>
          <t>LinkedIn</t>
        </is>
      </c>
      <c r="P314" s="110">
        <f>H314*0.08</f>
        <v/>
      </c>
      <c r="Q314" s="137" t="n">
        <v>0.11</v>
      </c>
      <c r="R314" s="108" t="inlineStr">
        <is>
          <t>Q1 deal - LinkedIn channel</t>
        </is>
      </c>
    </row>
    <row r="315" ht="15" customHeight="1" s="77">
      <c r="A315" s="117" t="inlineStr">
        <is>
          <t>2025-07-10</t>
        </is>
      </c>
      <c r="B315" s="117" t="inlineStr">
        <is>
          <t>July</t>
        </is>
      </c>
      <c r="C315" s="117" t="inlineStr">
        <is>
          <t>Kevin Martin</t>
        </is>
      </c>
      <c r="D315" s="117" t="inlineStr">
        <is>
          <t>West</t>
        </is>
      </c>
      <c r="E315" s="117" t="inlineStr">
        <is>
          <t>Product D</t>
        </is>
      </c>
      <c r="F315" s="117" t="inlineStr">
        <is>
          <t>Startup</t>
        </is>
      </c>
      <c r="G315" s="118" t="n">
        <v>32</v>
      </c>
      <c r="H315" s="119" t="n">
        <v>159968</v>
      </c>
      <c r="I315" s="119" t="n">
        <v>179100</v>
      </c>
      <c r="J315" s="119" t="n">
        <v>173327</v>
      </c>
      <c r="K315" s="117" t="inlineStr">
        <is>
          <t>In Progress</t>
        </is>
      </c>
      <c r="L315" s="140" t="n">
        <v>14</v>
      </c>
      <c r="M315" s="117" t="inlineStr">
        <is>
          <t>Xi Ltd</t>
        </is>
      </c>
      <c r="N315" s="117" t="inlineStr">
        <is>
          <t>Large ($50K-$200K)</t>
        </is>
      </c>
      <c r="O315" s="117" t="inlineStr">
        <is>
          <t>Trade Show</t>
        </is>
      </c>
      <c r="P315" s="119">
        <f>H315*0.08</f>
        <v/>
      </c>
      <c r="Q315" s="139" t="n">
        <v>0.14</v>
      </c>
      <c r="R315" s="117" t="inlineStr">
        <is>
          <t>Q2 deal - Trade Show channel</t>
        </is>
      </c>
    </row>
    <row r="316" ht="15" customHeight="1" s="77">
      <c r="A316" s="108" t="inlineStr">
        <is>
          <t>2025-01-02</t>
        </is>
      </c>
      <c r="B316" s="108" t="inlineStr">
        <is>
          <t>January</t>
        </is>
      </c>
      <c r="C316" s="108" t="inlineStr">
        <is>
          <t>Nina Patel</t>
        </is>
      </c>
      <c r="D316" s="108" t="inlineStr">
        <is>
          <t>East</t>
        </is>
      </c>
      <c r="E316" s="108" t="inlineStr">
        <is>
          <t>Product E</t>
        </is>
      </c>
      <c r="F316" s="108" t="inlineStr">
        <is>
          <t>Government</t>
        </is>
      </c>
      <c r="G316" s="109" t="n">
        <v>9</v>
      </c>
      <c r="H316" s="110" t="n">
        <v>89991</v>
      </c>
      <c r="I316" s="110" t="n">
        <v>101437</v>
      </c>
      <c r="J316" s="110" t="n">
        <v>84560</v>
      </c>
      <c r="K316" s="108" t="inlineStr">
        <is>
          <t>Won</t>
        </is>
      </c>
      <c r="L316" s="138" t="n">
        <v>57</v>
      </c>
      <c r="M316" s="108" t="inlineStr">
        <is>
          <t>Pi Co</t>
        </is>
      </c>
      <c r="N316" s="108" t="inlineStr">
        <is>
          <t>Large ($50K-$200K)</t>
        </is>
      </c>
      <c r="O316" s="108" t="inlineStr">
        <is>
          <t>Website</t>
        </is>
      </c>
      <c r="P316" s="110">
        <f>H316*0.08</f>
        <v/>
      </c>
      <c r="Q316" s="137" t="n">
        <v>0.11</v>
      </c>
      <c r="R316" s="108" t="inlineStr">
        <is>
          <t>Q3 deal - Website channel</t>
        </is>
      </c>
    </row>
    <row r="317" ht="15" customHeight="1" s="77">
      <c r="A317" s="117" t="inlineStr">
        <is>
          <t>2025-04-05</t>
        </is>
      </c>
      <c r="B317" s="117" t="inlineStr">
        <is>
          <t>April</t>
        </is>
      </c>
      <c r="C317" s="117" t="inlineStr">
        <is>
          <t>Chris Wilson</t>
        </is>
      </c>
      <c r="D317" s="117" t="inlineStr">
        <is>
          <t>South</t>
        </is>
      </c>
      <c r="E317" s="117" t="inlineStr">
        <is>
          <t>Product F</t>
        </is>
      </c>
      <c r="F317" s="117" t="inlineStr">
        <is>
          <t>Enterprise</t>
        </is>
      </c>
      <c r="G317" s="118" t="n">
        <v>50</v>
      </c>
      <c r="H317" s="119" t="n">
        <v>1499950</v>
      </c>
      <c r="I317" s="119" t="n">
        <v>1460633</v>
      </c>
      <c r="J317" s="119" t="n">
        <v>1342090</v>
      </c>
      <c r="K317" s="117" t="inlineStr">
        <is>
          <t>Won</t>
        </is>
      </c>
      <c r="L317" s="140" t="n">
        <v>110</v>
      </c>
      <c r="M317" s="117" t="inlineStr">
        <is>
          <t>Rho Corp</t>
        </is>
      </c>
      <c r="N317" s="117" t="inlineStr">
        <is>
          <t>Enterprise (&gt;$200K)</t>
        </is>
      </c>
      <c r="O317" s="117" t="inlineStr">
        <is>
          <t>Partner</t>
        </is>
      </c>
      <c r="P317" s="119">
        <f>H317*0.08</f>
        <v/>
      </c>
      <c r="Q317" s="139" t="n">
        <v>0.05</v>
      </c>
      <c r="R317" s="117" t="inlineStr">
        <is>
          <t>Q4 deal - Partner channel</t>
        </is>
      </c>
    </row>
    <row r="318" ht="15" customHeight="1" s="77">
      <c r="A318" s="108" t="inlineStr">
        <is>
          <t>2025-09-08</t>
        </is>
      </c>
      <c r="B318" s="108" t="inlineStr">
        <is>
          <t>September</t>
        </is>
      </c>
      <c r="C318" s="108" t="inlineStr">
        <is>
          <t>Amanda Foster</t>
        </is>
      </c>
      <c r="D318" s="108" t="inlineStr">
        <is>
          <t>Central</t>
        </is>
      </c>
      <c r="E318" s="108" t="inlineStr">
        <is>
          <t>Product G</t>
        </is>
      </c>
      <c r="F318" s="108" t="inlineStr">
        <is>
          <t>SMB</t>
        </is>
      </c>
      <c r="G318" s="109" t="n">
        <v>18</v>
      </c>
      <c r="H318" s="110" t="n">
        <v>899982</v>
      </c>
      <c r="I318" s="110" t="n">
        <v>902931</v>
      </c>
      <c r="J318" s="110" t="n">
        <v>777911</v>
      </c>
      <c r="K318" s="108" t="inlineStr">
        <is>
          <t>Won</t>
        </is>
      </c>
      <c r="L318" s="138" t="n">
        <v>15</v>
      </c>
      <c r="M318" s="108" t="inlineStr">
        <is>
          <t>Sigma Inc</t>
        </is>
      </c>
      <c r="N318" s="108" t="inlineStr">
        <is>
          <t>Enterprise (&gt;$200K)</t>
        </is>
      </c>
      <c r="O318" s="108" t="inlineStr">
        <is>
          <t>Email Campaign</t>
        </is>
      </c>
      <c r="P318" s="110">
        <f>H318*0.08</f>
        <v/>
      </c>
      <c r="Q318" s="137" t="n">
        <v>0.06</v>
      </c>
      <c r="R318" s="108" t="inlineStr">
        <is>
          <t>Q1 deal - Email Campaign channel</t>
        </is>
      </c>
    </row>
    <row r="319" ht="15" customHeight="1" s="77">
      <c r="A319" s="117" t="inlineStr">
        <is>
          <t>2025-05-03</t>
        </is>
      </c>
      <c r="B319" s="117" t="inlineStr">
        <is>
          <t>May</t>
        </is>
      </c>
      <c r="C319" s="117" t="inlineStr">
        <is>
          <t>Robert Taylor</t>
        </is>
      </c>
      <c r="D319" s="117" t="inlineStr">
        <is>
          <t>International</t>
        </is>
      </c>
      <c r="E319" s="117" t="inlineStr">
        <is>
          <t>Product H</t>
        </is>
      </c>
      <c r="F319" s="117" t="inlineStr">
        <is>
          <t>Mid-Market</t>
        </is>
      </c>
      <c r="G319" s="118" t="n">
        <v>28</v>
      </c>
      <c r="H319" s="119" t="n">
        <v>699972</v>
      </c>
      <c r="I319" s="119" t="n">
        <v>716588</v>
      </c>
      <c r="J319" s="119" t="n">
        <v>739616</v>
      </c>
      <c r="K319" s="117" t="inlineStr">
        <is>
          <t>Won</t>
        </is>
      </c>
      <c r="L319" s="140" t="n">
        <v>60</v>
      </c>
      <c r="M319" s="117" t="inlineStr">
        <is>
          <t>Tau LLC</t>
        </is>
      </c>
      <c r="N319" s="117" t="inlineStr">
        <is>
          <t>Enterprise (&gt;$200K)</t>
        </is>
      </c>
      <c r="O319" s="117" t="inlineStr">
        <is>
          <t>Webinar</t>
        </is>
      </c>
      <c r="P319" s="119">
        <f>H319*0.08</f>
        <v/>
      </c>
      <c r="Q319" s="139" t="n">
        <v>0.13</v>
      </c>
      <c r="R319" s="117" t="inlineStr">
        <is>
          <t>Q2 deal - Webinar channel</t>
        </is>
      </c>
    </row>
    <row r="320" ht="15" customHeight="1" s="77">
      <c r="A320" s="108" t="inlineStr">
        <is>
          <t>2025-09-07</t>
        </is>
      </c>
      <c r="B320" s="108" t="inlineStr">
        <is>
          <t>September</t>
        </is>
      </c>
      <c r="C320" s="108" t="inlineStr">
        <is>
          <t>Jennifer Moore</t>
        </is>
      </c>
      <c r="D320" s="108" t="inlineStr">
        <is>
          <t>North</t>
        </is>
      </c>
      <c r="E320" s="108" t="inlineStr">
        <is>
          <t>Product I</t>
        </is>
      </c>
      <c r="F320" s="108" t="inlineStr">
        <is>
          <t>Startup</t>
        </is>
      </c>
      <c r="G320" s="109" t="n">
        <v>7</v>
      </c>
      <c r="H320" s="110" t="n">
        <v>349993</v>
      </c>
      <c r="I320" s="110" t="n">
        <v>412420</v>
      </c>
      <c r="J320" s="110" t="n">
        <v>351680</v>
      </c>
      <c r="K320" s="108" t="inlineStr">
        <is>
          <t>Lost</t>
        </is>
      </c>
      <c r="L320" s="138" t="n">
        <v>11</v>
      </c>
      <c r="M320" s="108" t="inlineStr">
        <is>
          <t>Upsilon Ltd</t>
        </is>
      </c>
      <c r="N320" s="108" t="inlineStr">
        <is>
          <t>Enterprise (&gt;$200K)</t>
        </is>
      </c>
      <c r="O320" s="108" t="inlineStr">
        <is>
          <t>SEO</t>
        </is>
      </c>
      <c r="P320" s="110">
        <f>H320*0.08</f>
        <v/>
      </c>
      <c r="Q320" s="137" t="n">
        <v>0.01</v>
      </c>
      <c r="R320" s="108" t="inlineStr">
        <is>
          <t>Q3 deal - SEO channel</t>
        </is>
      </c>
    </row>
    <row r="321" ht="15" customHeight="1" s="77">
      <c r="A321" s="117" t="inlineStr">
        <is>
          <t>2025-08-28</t>
        </is>
      </c>
      <c r="B321" s="117" t="inlineStr">
        <is>
          <t>August</t>
        </is>
      </c>
      <c r="C321" s="117" t="inlineStr">
        <is>
          <t>Daniel Jackson</t>
        </is>
      </c>
      <c r="D321" s="117" t="inlineStr">
        <is>
          <t>West</t>
        </is>
      </c>
      <c r="E321" s="117" t="inlineStr">
        <is>
          <t>Product J</t>
        </is>
      </c>
      <c r="F321" s="117" t="inlineStr">
        <is>
          <t>Government</t>
        </is>
      </c>
      <c r="G321" s="118" t="n">
        <v>10</v>
      </c>
      <c r="H321" s="119" t="n">
        <v>79990</v>
      </c>
      <c r="I321" s="119" t="n">
        <v>81939</v>
      </c>
      <c r="J321" s="119" t="n">
        <v>73036</v>
      </c>
      <c r="K321" s="117" t="inlineStr">
        <is>
          <t>In Progress</t>
        </is>
      </c>
      <c r="L321" s="140" t="n">
        <v>70</v>
      </c>
      <c r="M321" s="117" t="inlineStr">
        <is>
          <t>Phi Co</t>
        </is>
      </c>
      <c r="N321" s="117" t="inlineStr">
        <is>
          <t>Large ($50K-$200K)</t>
        </is>
      </c>
      <c r="O321" s="117" t="inlineStr">
        <is>
          <t>Direct</t>
        </is>
      </c>
      <c r="P321" s="119">
        <f>H321*0.08</f>
        <v/>
      </c>
      <c r="Q321" s="139" t="n">
        <v>0.11</v>
      </c>
      <c r="R321" s="117" t="inlineStr">
        <is>
          <t>Q4 deal - Direct channel</t>
        </is>
      </c>
    </row>
    <row r="322" ht="15" customHeight="1" s="77">
      <c r="A322" s="108" t="inlineStr">
        <is>
          <t>2025-04-20</t>
        </is>
      </c>
      <c r="B322" s="108" t="inlineStr">
        <is>
          <t>April</t>
        </is>
      </c>
      <c r="C322" s="108" t="inlineStr">
        <is>
          <t>Sarah Johnson</t>
        </is>
      </c>
      <c r="D322" s="108" t="inlineStr">
        <is>
          <t>North</t>
        </is>
      </c>
      <c r="E322" s="108" t="inlineStr">
        <is>
          <t>Product A</t>
        </is>
      </c>
      <c r="F322" s="108" t="inlineStr">
        <is>
          <t>Enterprise</t>
        </is>
      </c>
      <c r="G322" s="109" t="n">
        <v>3</v>
      </c>
      <c r="H322" s="110" t="n">
        <v>23997</v>
      </c>
      <c r="I322" s="110" t="n">
        <v>24322</v>
      </c>
      <c r="J322" s="110" t="n">
        <v>25573</v>
      </c>
      <c r="K322" s="108" t="inlineStr">
        <is>
          <t>In Progress</t>
        </is>
      </c>
      <c r="L322" s="138" t="n">
        <v>104</v>
      </c>
      <c r="M322" s="108" t="inlineStr">
        <is>
          <t>Acme Corp</t>
        </is>
      </c>
      <c r="N322" s="108" t="inlineStr">
        <is>
          <t>Medium ($10K-$50K)</t>
        </is>
      </c>
      <c r="O322" s="108" t="inlineStr">
        <is>
          <t>Referral</t>
        </is>
      </c>
      <c r="P322" s="110">
        <f>H322*0.08</f>
        <v/>
      </c>
      <c r="Q322" s="137" t="n">
        <v>0.12</v>
      </c>
      <c r="R322" s="108" t="inlineStr">
        <is>
          <t>Q1 deal - Referral channel</t>
        </is>
      </c>
    </row>
    <row r="323" ht="15" customHeight="1" s="77">
      <c r="A323" s="117" t="inlineStr">
        <is>
          <t>2025-07-13</t>
        </is>
      </c>
      <c r="B323" s="117" t="inlineStr">
        <is>
          <t>July</t>
        </is>
      </c>
      <c r="C323" s="117" t="inlineStr">
        <is>
          <t>Mike Chen</t>
        </is>
      </c>
      <c r="D323" s="117" t="inlineStr">
        <is>
          <t>West</t>
        </is>
      </c>
      <c r="E323" s="117" t="inlineStr">
        <is>
          <t>Product B</t>
        </is>
      </c>
      <c r="F323" s="117" t="inlineStr">
        <is>
          <t>SMB</t>
        </is>
      </c>
      <c r="G323" s="118" t="n">
        <v>43</v>
      </c>
      <c r="H323" s="119" t="n">
        <v>429957</v>
      </c>
      <c r="I323" s="119" t="n">
        <v>428408</v>
      </c>
      <c r="J323" s="119" t="n">
        <v>404104</v>
      </c>
      <c r="K323" s="117" t="inlineStr">
        <is>
          <t>Won</t>
        </is>
      </c>
      <c r="L323" s="140" t="n">
        <v>108</v>
      </c>
      <c r="M323" s="117" t="inlineStr">
        <is>
          <t>Beta Inc</t>
        </is>
      </c>
      <c r="N323" s="117" t="inlineStr">
        <is>
          <t>Enterprise (&gt;$200K)</t>
        </is>
      </c>
      <c r="O323" s="117" t="inlineStr">
        <is>
          <t>Cold Call</t>
        </is>
      </c>
      <c r="P323" s="119">
        <f>H323*0.08</f>
        <v/>
      </c>
      <c r="Q323" s="139" t="n">
        <v>0.13</v>
      </c>
      <c r="R323" s="117" t="inlineStr">
        <is>
          <t>Q2 deal - Cold Call channel</t>
        </is>
      </c>
    </row>
    <row r="324" ht="15" customHeight="1" s="77">
      <c r="A324" s="108" t="inlineStr">
        <is>
          <t>2025-01-18</t>
        </is>
      </c>
      <c r="B324" s="108" t="inlineStr">
        <is>
          <t>January</t>
        </is>
      </c>
      <c r="C324" s="108" t="inlineStr">
        <is>
          <t>Priya Sharma</t>
        </is>
      </c>
      <c r="D324" s="108" t="inlineStr">
        <is>
          <t>East</t>
        </is>
      </c>
      <c r="E324" s="108" t="inlineStr">
        <is>
          <t>Product C</t>
        </is>
      </c>
      <c r="F324" s="108" t="inlineStr">
        <is>
          <t>Mid-Market</t>
        </is>
      </c>
      <c r="G324" s="109" t="n">
        <v>18</v>
      </c>
      <c r="H324" s="110" t="n">
        <v>449982</v>
      </c>
      <c r="I324" s="110" t="n">
        <v>523467</v>
      </c>
      <c r="J324" s="110" t="n">
        <v>477221</v>
      </c>
      <c r="K324" s="108" t="inlineStr">
        <is>
          <t>Won</t>
        </is>
      </c>
      <c r="L324" s="138" t="n">
        <v>94</v>
      </c>
      <c r="M324" s="108" t="inlineStr">
        <is>
          <t>Gamma LLC</t>
        </is>
      </c>
      <c r="N324" s="108" t="inlineStr">
        <is>
          <t>Enterprise (&gt;$200K)</t>
        </is>
      </c>
      <c r="O324" s="108" t="inlineStr">
        <is>
          <t>LinkedIn</t>
        </is>
      </c>
      <c r="P324" s="110">
        <f>H324*0.08</f>
        <v/>
      </c>
      <c r="Q324" s="137" t="n">
        <v>0.03</v>
      </c>
      <c r="R324" s="108" t="inlineStr">
        <is>
          <t>Q3 deal - LinkedIn channel</t>
        </is>
      </c>
    </row>
    <row r="325" ht="15" customHeight="1" s="77">
      <c r="A325" s="117" t="inlineStr">
        <is>
          <t>2025-01-13</t>
        </is>
      </c>
      <c r="B325" s="117" t="inlineStr">
        <is>
          <t>January</t>
        </is>
      </c>
      <c r="C325" s="117" t="inlineStr">
        <is>
          <t>James Williams</t>
        </is>
      </c>
      <c r="D325" s="117" t="inlineStr">
        <is>
          <t>South</t>
        </is>
      </c>
      <c r="E325" s="117" t="inlineStr">
        <is>
          <t>Product D</t>
        </is>
      </c>
      <c r="F325" s="117" t="inlineStr">
        <is>
          <t>Startup</t>
        </is>
      </c>
      <c r="G325" s="118" t="n">
        <v>2</v>
      </c>
      <c r="H325" s="119" t="n">
        <v>59998</v>
      </c>
      <c r="I325" s="119" t="n">
        <v>57788</v>
      </c>
      <c r="J325" s="119" t="n">
        <v>64074</v>
      </c>
      <c r="K325" s="117" t="inlineStr">
        <is>
          <t>Won</t>
        </is>
      </c>
      <c r="L325" s="140" t="n">
        <v>106</v>
      </c>
      <c r="M325" s="117" t="inlineStr">
        <is>
          <t>Delta Ltd</t>
        </is>
      </c>
      <c r="N325" s="117" t="inlineStr">
        <is>
          <t>Large ($50K-$200K)</t>
        </is>
      </c>
      <c r="O325" s="117" t="inlineStr">
        <is>
          <t>Trade Show</t>
        </is>
      </c>
      <c r="P325" s="119">
        <f>H325*0.08</f>
        <v/>
      </c>
      <c r="Q325" s="139" t="n">
        <v>0.04</v>
      </c>
      <c r="R325" s="117" t="inlineStr">
        <is>
          <t>Q4 deal - Trade Show channel</t>
        </is>
      </c>
    </row>
    <row r="326" ht="15" customHeight="1" s="77">
      <c r="A326" s="108" t="inlineStr">
        <is>
          <t>2025-07-07</t>
        </is>
      </c>
      <c r="B326" s="108" t="inlineStr">
        <is>
          <t>July</t>
        </is>
      </c>
      <c r="C326" s="108" t="inlineStr">
        <is>
          <t>Emily Davis</t>
        </is>
      </c>
      <c r="D326" s="108" t="inlineStr">
        <is>
          <t>Central</t>
        </is>
      </c>
      <c r="E326" s="108" t="inlineStr">
        <is>
          <t>Product E</t>
        </is>
      </c>
      <c r="F326" s="108" t="inlineStr">
        <is>
          <t>Government</t>
        </is>
      </c>
      <c r="G326" s="109" t="n">
        <v>33</v>
      </c>
      <c r="H326" s="110" t="n">
        <v>824967</v>
      </c>
      <c r="I326" s="110" t="n">
        <v>972220</v>
      </c>
      <c r="J326" s="110" t="n">
        <v>883468</v>
      </c>
      <c r="K326" s="108" t="inlineStr">
        <is>
          <t>Won</t>
        </is>
      </c>
      <c r="L326" s="138" t="n">
        <v>8</v>
      </c>
      <c r="M326" s="108" t="inlineStr">
        <is>
          <t>Epsilon Co</t>
        </is>
      </c>
      <c r="N326" s="108" t="inlineStr">
        <is>
          <t>Enterprise (&gt;$200K)</t>
        </is>
      </c>
      <c r="O326" s="108" t="inlineStr">
        <is>
          <t>Website</t>
        </is>
      </c>
      <c r="P326" s="110">
        <f>H326*0.08</f>
        <v/>
      </c>
      <c r="Q326" s="137" t="n">
        <v>0.07000000000000001</v>
      </c>
      <c r="R326" s="108" t="inlineStr">
        <is>
          <t>Q1 deal - Website channel</t>
        </is>
      </c>
    </row>
    <row r="327" ht="15" customHeight="1" s="77">
      <c r="A327" s="117" t="inlineStr">
        <is>
          <t>2025-03-20</t>
        </is>
      </c>
      <c r="B327" s="117" t="inlineStr">
        <is>
          <t>March</t>
        </is>
      </c>
      <c r="C327" s="117" t="inlineStr">
        <is>
          <t>Carlos Ruiz</t>
        </is>
      </c>
      <c r="D327" s="117" t="inlineStr">
        <is>
          <t>International</t>
        </is>
      </c>
      <c r="E327" s="117" t="inlineStr">
        <is>
          <t>Product F</t>
        </is>
      </c>
      <c r="F327" s="117" t="inlineStr">
        <is>
          <t>Enterprise</t>
        </is>
      </c>
      <c r="G327" s="118" t="n">
        <v>19</v>
      </c>
      <c r="H327" s="119" t="n">
        <v>474981</v>
      </c>
      <c r="I327" s="119" t="n">
        <v>564717</v>
      </c>
      <c r="J327" s="119" t="n">
        <v>455609</v>
      </c>
      <c r="K327" s="117" t="inlineStr">
        <is>
          <t>Lost</t>
        </is>
      </c>
      <c r="L327" s="140" t="n">
        <v>70</v>
      </c>
      <c r="M327" s="117" t="inlineStr">
        <is>
          <t>Zeta Corp</t>
        </is>
      </c>
      <c r="N327" s="117" t="inlineStr">
        <is>
          <t>Enterprise (&gt;$200K)</t>
        </is>
      </c>
      <c r="O327" s="117" t="inlineStr">
        <is>
          <t>Partner</t>
        </is>
      </c>
      <c r="P327" s="119">
        <f>H327*0.08</f>
        <v/>
      </c>
      <c r="Q327" s="139" t="n">
        <v>0.14</v>
      </c>
      <c r="R327" s="117" t="inlineStr">
        <is>
          <t>Q2 deal - Partner channel</t>
        </is>
      </c>
    </row>
    <row r="328" ht="15" customHeight="1" s="77">
      <c r="A328" s="108" t="inlineStr">
        <is>
          <t>2025-01-17</t>
        </is>
      </c>
      <c r="B328" s="108" t="inlineStr">
        <is>
          <t>January</t>
        </is>
      </c>
      <c r="C328" s="108" t="inlineStr">
        <is>
          <t>Lisa Park</t>
        </is>
      </c>
      <c r="D328" s="108" t="inlineStr">
        <is>
          <t>North</t>
        </is>
      </c>
      <c r="E328" s="108" t="inlineStr">
        <is>
          <t>Product G</t>
        </is>
      </c>
      <c r="F328" s="108" t="inlineStr">
        <is>
          <t>SMB</t>
        </is>
      </c>
      <c r="G328" s="109" t="n">
        <v>40</v>
      </c>
      <c r="H328" s="110" t="n">
        <v>319960</v>
      </c>
      <c r="I328" s="110" t="n">
        <v>288100</v>
      </c>
      <c r="J328" s="110" t="n">
        <v>316178</v>
      </c>
      <c r="K328" s="108" t="inlineStr">
        <is>
          <t>In Progress</t>
        </is>
      </c>
      <c r="L328" s="138" t="n">
        <v>72</v>
      </c>
      <c r="M328" s="108" t="inlineStr">
        <is>
          <t>Eta Inc</t>
        </is>
      </c>
      <c r="N328" s="108" t="inlineStr">
        <is>
          <t>Enterprise (&gt;$200K)</t>
        </is>
      </c>
      <c r="O328" s="108" t="inlineStr">
        <is>
          <t>Email Campaign</t>
        </is>
      </c>
      <c r="P328" s="110">
        <f>H328*0.08</f>
        <v/>
      </c>
      <c r="Q328" s="137" t="n">
        <v>0.12</v>
      </c>
      <c r="R328" s="108" t="inlineStr">
        <is>
          <t>Q3 deal - Email Campaign channel</t>
        </is>
      </c>
    </row>
    <row r="329" ht="15" customHeight="1" s="77">
      <c r="A329" s="117" t="inlineStr">
        <is>
          <t>2025-10-22</t>
        </is>
      </c>
      <c r="B329" s="117" t="inlineStr">
        <is>
          <t>October</t>
        </is>
      </c>
      <c r="C329" s="117" t="inlineStr">
        <is>
          <t>Tom Brown</t>
        </is>
      </c>
      <c r="D329" s="117" t="inlineStr">
        <is>
          <t>West</t>
        </is>
      </c>
      <c r="E329" s="117" t="inlineStr">
        <is>
          <t>Product H</t>
        </is>
      </c>
      <c r="F329" s="117" t="inlineStr">
        <is>
          <t>Mid-Market</t>
        </is>
      </c>
      <c r="G329" s="118" t="n">
        <v>25</v>
      </c>
      <c r="H329" s="119" t="n">
        <v>749975</v>
      </c>
      <c r="I329" s="119" t="n">
        <v>783256</v>
      </c>
      <c r="J329" s="119" t="n">
        <v>723590</v>
      </c>
      <c r="K329" s="117" t="inlineStr">
        <is>
          <t>In Progress</t>
        </is>
      </c>
      <c r="L329" s="140" t="n">
        <v>9</v>
      </c>
      <c r="M329" s="117" t="inlineStr">
        <is>
          <t>Theta LLC</t>
        </is>
      </c>
      <c r="N329" s="117" t="inlineStr">
        <is>
          <t>Enterprise (&gt;$200K)</t>
        </is>
      </c>
      <c r="O329" s="117" t="inlineStr">
        <is>
          <t>Webinar</t>
        </is>
      </c>
      <c r="P329" s="119">
        <f>H329*0.08</f>
        <v/>
      </c>
      <c r="Q329" s="139" t="n">
        <v>0.04</v>
      </c>
      <c r="R329" s="117" t="inlineStr">
        <is>
          <t>Q4 deal - Webinar channel</t>
        </is>
      </c>
    </row>
    <row r="330" ht="15" customHeight="1" s="77">
      <c r="A330" s="108" t="inlineStr">
        <is>
          <t>2025-06-10</t>
        </is>
      </c>
      <c r="B330" s="108" t="inlineStr">
        <is>
          <t>June</t>
        </is>
      </c>
      <c r="C330" s="108" t="inlineStr">
        <is>
          <t>Anna Schmidt</t>
        </is>
      </c>
      <c r="D330" s="108" t="inlineStr">
        <is>
          <t>East</t>
        </is>
      </c>
      <c r="E330" s="108" t="inlineStr">
        <is>
          <t>Product I</t>
        </is>
      </c>
      <c r="F330" s="108" t="inlineStr">
        <is>
          <t>Startup</t>
        </is>
      </c>
      <c r="G330" s="109" t="n">
        <v>24</v>
      </c>
      <c r="H330" s="110" t="n">
        <v>359976</v>
      </c>
      <c r="I330" s="110" t="n">
        <v>430941</v>
      </c>
      <c r="J330" s="110" t="n">
        <v>351736</v>
      </c>
      <c r="K330" s="108" t="inlineStr">
        <is>
          <t>Won</t>
        </is>
      </c>
      <c r="L330" s="138" t="n">
        <v>60</v>
      </c>
      <c r="M330" s="108" t="inlineStr">
        <is>
          <t>Iota Ltd</t>
        </is>
      </c>
      <c r="N330" s="108" t="inlineStr">
        <is>
          <t>Enterprise (&gt;$200K)</t>
        </is>
      </c>
      <c r="O330" s="108" t="inlineStr">
        <is>
          <t>SEO</t>
        </is>
      </c>
      <c r="P330" s="110">
        <f>H330*0.08</f>
        <v/>
      </c>
      <c r="Q330" s="137" t="n">
        <v>0.08</v>
      </c>
      <c r="R330" s="108" t="inlineStr">
        <is>
          <t>Q1 deal - SEO channel</t>
        </is>
      </c>
    </row>
    <row r="331" ht="15" customHeight="1" s="77">
      <c r="A331" s="117" t="inlineStr">
        <is>
          <t>2025-07-12</t>
        </is>
      </c>
      <c r="B331" s="117" t="inlineStr">
        <is>
          <t>July</t>
        </is>
      </c>
      <c r="C331" s="117" t="inlineStr">
        <is>
          <t>David Kim</t>
        </is>
      </c>
      <c r="D331" s="117" t="inlineStr">
        <is>
          <t>South</t>
        </is>
      </c>
      <c r="E331" s="117" t="inlineStr">
        <is>
          <t>Product J</t>
        </is>
      </c>
      <c r="F331" s="117" t="inlineStr">
        <is>
          <t>Government</t>
        </is>
      </c>
      <c r="G331" s="118" t="n">
        <v>37</v>
      </c>
      <c r="H331" s="119" t="n">
        <v>295963</v>
      </c>
      <c r="I331" s="119" t="n">
        <v>342791</v>
      </c>
      <c r="J331" s="119" t="n">
        <v>301866</v>
      </c>
      <c r="K331" s="117" t="inlineStr">
        <is>
          <t>Won</t>
        </is>
      </c>
      <c r="L331" s="140" t="n">
        <v>97</v>
      </c>
      <c r="M331" s="117" t="inlineStr">
        <is>
          <t>Kappa Co</t>
        </is>
      </c>
      <c r="N331" s="117" t="inlineStr">
        <is>
          <t>Enterprise (&gt;$200K)</t>
        </is>
      </c>
      <c r="O331" s="117" t="inlineStr">
        <is>
          <t>Direct</t>
        </is>
      </c>
      <c r="P331" s="119">
        <f>H331*0.08</f>
        <v/>
      </c>
      <c r="Q331" s="139" t="n">
        <v>0.11</v>
      </c>
      <c r="R331" s="117" t="inlineStr">
        <is>
          <t>Q2 deal - Direct channel</t>
        </is>
      </c>
    </row>
    <row r="332" ht="15" customHeight="1" s="77">
      <c r="A332" s="108" t="inlineStr">
        <is>
          <t>2025-10-01</t>
        </is>
      </c>
      <c r="B332" s="108" t="inlineStr">
        <is>
          <t>October</t>
        </is>
      </c>
      <c r="C332" s="108" t="inlineStr">
        <is>
          <t>Rachel Green</t>
        </is>
      </c>
      <c r="D332" s="108" t="inlineStr">
        <is>
          <t>Central</t>
        </is>
      </c>
      <c r="E332" s="108" t="inlineStr">
        <is>
          <t>Product A</t>
        </is>
      </c>
      <c r="F332" s="108" t="inlineStr">
        <is>
          <t>Enterprise</t>
        </is>
      </c>
      <c r="G332" s="109" t="n">
        <v>26</v>
      </c>
      <c r="H332" s="110" t="n">
        <v>259974</v>
      </c>
      <c r="I332" s="110" t="n">
        <v>302059</v>
      </c>
      <c r="J332" s="110" t="n">
        <v>235960</v>
      </c>
      <c r="K332" s="108" t="inlineStr">
        <is>
          <t>Won</t>
        </is>
      </c>
      <c r="L332" s="138" t="n">
        <v>49</v>
      </c>
      <c r="M332" s="108" t="inlineStr">
        <is>
          <t>Lambda Corp</t>
        </is>
      </c>
      <c r="N332" s="108" t="inlineStr">
        <is>
          <t>Enterprise (&gt;$200K)</t>
        </is>
      </c>
      <c r="O332" s="108" t="inlineStr">
        <is>
          <t>Referral</t>
        </is>
      </c>
      <c r="P332" s="110">
        <f>H332*0.08</f>
        <v/>
      </c>
      <c r="Q332" s="137" t="n">
        <v>0.07000000000000001</v>
      </c>
      <c r="R332" s="108" t="inlineStr">
        <is>
          <t>Q3 deal - Referral channel</t>
        </is>
      </c>
    </row>
    <row r="333" ht="15" customHeight="1" s="77">
      <c r="A333" s="117" t="inlineStr">
        <is>
          <t>2025-10-25</t>
        </is>
      </c>
      <c r="B333" s="117" t="inlineStr">
        <is>
          <t>October</t>
        </is>
      </c>
      <c r="C333" s="117" t="inlineStr">
        <is>
          <t>Mark Thompson</t>
        </is>
      </c>
      <c r="D333" s="117" t="inlineStr">
        <is>
          <t>International</t>
        </is>
      </c>
      <c r="E333" s="117" t="inlineStr">
        <is>
          <t>Product B</t>
        </is>
      </c>
      <c r="F333" s="117" t="inlineStr">
        <is>
          <t>SMB</t>
        </is>
      </c>
      <c r="G333" s="118" t="n">
        <v>25</v>
      </c>
      <c r="H333" s="119" t="n">
        <v>624975</v>
      </c>
      <c r="I333" s="119" t="n">
        <v>573503</v>
      </c>
      <c r="J333" s="119" t="n">
        <v>580378</v>
      </c>
      <c r="K333" s="117" t="inlineStr">
        <is>
          <t>Won</t>
        </is>
      </c>
      <c r="L333" s="140" t="n">
        <v>32</v>
      </c>
      <c r="M333" s="117" t="inlineStr">
        <is>
          <t>Mu Inc</t>
        </is>
      </c>
      <c r="N333" s="117" t="inlineStr">
        <is>
          <t>Enterprise (&gt;$200K)</t>
        </is>
      </c>
      <c r="O333" s="117" t="inlineStr">
        <is>
          <t>Cold Call</t>
        </is>
      </c>
      <c r="P333" s="119">
        <f>H333*0.08</f>
        <v/>
      </c>
      <c r="Q333" s="139" t="n">
        <v>0.05</v>
      </c>
      <c r="R333" s="117" t="inlineStr">
        <is>
          <t>Q4 deal - Cold Call channel</t>
        </is>
      </c>
    </row>
    <row r="334" ht="15" customHeight="1" s="77">
      <c r="A334" s="108" t="inlineStr">
        <is>
          <t>2025-08-20</t>
        </is>
      </c>
      <c r="B334" s="108" t="inlineStr">
        <is>
          <t>August</t>
        </is>
      </c>
      <c r="C334" s="108" t="inlineStr">
        <is>
          <t>Susan Lee</t>
        </is>
      </c>
      <c r="D334" s="108" t="inlineStr">
        <is>
          <t>North</t>
        </is>
      </c>
      <c r="E334" s="108" t="inlineStr">
        <is>
          <t>Product C</t>
        </is>
      </c>
      <c r="F334" s="108" t="inlineStr">
        <is>
          <t>Mid-Market</t>
        </is>
      </c>
      <c r="G334" s="109" t="n">
        <v>45</v>
      </c>
      <c r="H334" s="110" t="n">
        <v>1124955</v>
      </c>
      <c r="I334" s="110" t="n">
        <v>1019792</v>
      </c>
      <c r="J334" s="110" t="n">
        <v>1103456</v>
      </c>
      <c r="K334" s="108" t="inlineStr">
        <is>
          <t>Lost</t>
        </is>
      </c>
      <c r="L334" s="138" t="n">
        <v>64</v>
      </c>
      <c r="M334" s="108" t="inlineStr">
        <is>
          <t>Nu LLC</t>
        </is>
      </c>
      <c r="N334" s="108" t="inlineStr">
        <is>
          <t>Enterprise (&gt;$200K)</t>
        </is>
      </c>
      <c r="O334" s="108" t="inlineStr">
        <is>
          <t>LinkedIn</t>
        </is>
      </c>
      <c r="P334" s="110">
        <f>H334*0.08</f>
        <v/>
      </c>
      <c r="Q334" s="137" t="n">
        <v>0.14</v>
      </c>
      <c r="R334" s="108" t="inlineStr">
        <is>
          <t>Q1 deal - LinkedIn channel</t>
        </is>
      </c>
    </row>
    <row r="335" ht="15" customHeight="1" s="77">
      <c r="A335" s="117" t="inlineStr">
        <is>
          <t>2025-10-17</t>
        </is>
      </c>
      <c r="B335" s="117" t="inlineStr">
        <is>
          <t>October</t>
        </is>
      </c>
      <c r="C335" s="117" t="inlineStr">
        <is>
          <t>Kevin Martin</t>
        </is>
      </c>
      <c r="D335" s="117" t="inlineStr">
        <is>
          <t>West</t>
        </is>
      </c>
      <c r="E335" s="117" t="inlineStr">
        <is>
          <t>Product D</t>
        </is>
      </c>
      <c r="F335" s="117" t="inlineStr">
        <is>
          <t>Startup</t>
        </is>
      </c>
      <c r="G335" s="118" t="n">
        <v>21</v>
      </c>
      <c r="H335" s="119" t="n">
        <v>314979</v>
      </c>
      <c r="I335" s="119" t="n">
        <v>298862</v>
      </c>
      <c r="J335" s="119" t="n">
        <v>338534</v>
      </c>
      <c r="K335" s="117" t="inlineStr">
        <is>
          <t>In Progress</t>
        </is>
      </c>
      <c r="L335" s="140" t="n">
        <v>102</v>
      </c>
      <c r="M335" s="117" t="inlineStr">
        <is>
          <t>Xi Ltd</t>
        </is>
      </c>
      <c r="N335" s="117" t="inlineStr">
        <is>
          <t>Enterprise (&gt;$200K)</t>
        </is>
      </c>
      <c r="O335" s="117" t="inlineStr">
        <is>
          <t>Trade Show</t>
        </is>
      </c>
      <c r="P335" s="119">
        <f>H335*0.08</f>
        <v/>
      </c>
      <c r="Q335" s="139" t="n">
        <v>0.04</v>
      </c>
      <c r="R335" s="117" t="inlineStr">
        <is>
          <t>Q2 deal - Trade Show channel</t>
        </is>
      </c>
    </row>
    <row r="336" ht="15" customHeight="1" s="77">
      <c r="A336" s="108" t="inlineStr">
        <is>
          <t>2025-11-13</t>
        </is>
      </c>
      <c r="B336" s="108" t="inlineStr">
        <is>
          <t>November</t>
        </is>
      </c>
      <c r="C336" s="108" t="inlineStr">
        <is>
          <t>Nina Patel</t>
        </is>
      </c>
      <c r="D336" s="108" t="inlineStr">
        <is>
          <t>East</t>
        </is>
      </c>
      <c r="E336" s="108" t="inlineStr">
        <is>
          <t>Product E</t>
        </is>
      </c>
      <c r="F336" s="108" t="inlineStr">
        <is>
          <t>Government</t>
        </is>
      </c>
      <c r="G336" s="109" t="n">
        <v>50</v>
      </c>
      <c r="H336" s="110" t="n">
        <v>1249950</v>
      </c>
      <c r="I336" s="110" t="n">
        <v>1474629</v>
      </c>
      <c r="J336" s="110" t="n">
        <v>1302035</v>
      </c>
      <c r="K336" s="108" t="inlineStr">
        <is>
          <t>In Progress</t>
        </is>
      </c>
      <c r="L336" s="138" t="n">
        <v>37</v>
      </c>
      <c r="M336" s="108" t="inlineStr">
        <is>
          <t>Pi Co</t>
        </is>
      </c>
      <c r="N336" s="108" t="inlineStr">
        <is>
          <t>Enterprise (&gt;$200K)</t>
        </is>
      </c>
      <c r="O336" s="108" t="inlineStr">
        <is>
          <t>Website</t>
        </is>
      </c>
      <c r="P336" s="110">
        <f>H336*0.08</f>
        <v/>
      </c>
      <c r="Q336" s="137" t="n">
        <v>0.01</v>
      </c>
      <c r="R336" s="108" t="inlineStr">
        <is>
          <t>Q3 deal - Website channel</t>
        </is>
      </c>
    </row>
    <row r="337" ht="15" customHeight="1" s="77">
      <c r="A337" s="117" t="inlineStr">
        <is>
          <t>2025-05-14</t>
        </is>
      </c>
      <c r="B337" s="117" t="inlineStr">
        <is>
          <t>May</t>
        </is>
      </c>
      <c r="C337" s="117" t="inlineStr">
        <is>
          <t>Chris Wilson</t>
        </is>
      </c>
      <c r="D337" s="117" t="inlineStr">
        <is>
          <t>South</t>
        </is>
      </c>
      <c r="E337" s="117" t="inlineStr">
        <is>
          <t>Product F</t>
        </is>
      </c>
      <c r="F337" s="117" t="inlineStr">
        <is>
          <t>Enterprise</t>
        </is>
      </c>
      <c r="G337" s="118" t="n">
        <v>32</v>
      </c>
      <c r="H337" s="119" t="n">
        <v>159968</v>
      </c>
      <c r="I337" s="119" t="n">
        <v>144386</v>
      </c>
      <c r="J337" s="119" t="n">
        <v>149188</v>
      </c>
      <c r="K337" s="117" t="inlineStr">
        <is>
          <t>Won</t>
        </is>
      </c>
      <c r="L337" s="140" t="n">
        <v>69</v>
      </c>
      <c r="M337" s="117" t="inlineStr">
        <is>
          <t>Rho Corp</t>
        </is>
      </c>
      <c r="N337" s="117" t="inlineStr">
        <is>
          <t>Large ($50K-$200K)</t>
        </is>
      </c>
      <c r="O337" s="117" t="inlineStr">
        <is>
          <t>Partner</t>
        </is>
      </c>
      <c r="P337" s="119">
        <f>H337*0.08</f>
        <v/>
      </c>
      <c r="Q337" s="139" t="n">
        <v>0</v>
      </c>
      <c r="R337" s="117" t="inlineStr">
        <is>
          <t>Q4 deal - Partner channel</t>
        </is>
      </c>
    </row>
    <row r="338" ht="15" customHeight="1" s="77">
      <c r="A338" s="108" t="inlineStr">
        <is>
          <t>2025-02-26</t>
        </is>
      </c>
      <c r="B338" s="108" t="inlineStr">
        <is>
          <t>February</t>
        </is>
      </c>
      <c r="C338" s="108" t="inlineStr">
        <is>
          <t>Amanda Foster</t>
        </is>
      </c>
      <c r="D338" s="108" t="inlineStr">
        <is>
          <t>Central</t>
        </is>
      </c>
      <c r="E338" s="108" t="inlineStr">
        <is>
          <t>Product G</t>
        </is>
      </c>
      <c r="F338" s="108" t="inlineStr">
        <is>
          <t>SMB</t>
        </is>
      </c>
      <c r="G338" s="109" t="n">
        <v>1</v>
      </c>
      <c r="H338" s="110" t="n">
        <v>4999</v>
      </c>
      <c r="I338" s="110" t="n">
        <v>5065</v>
      </c>
      <c r="J338" s="110" t="n">
        <v>5143</v>
      </c>
      <c r="K338" s="108" t="inlineStr">
        <is>
          <t>Won</t>
        </is>
      </c>
      <c r="L338" s="138" t="n">
        <v>116</v>
      </c>
      <c r="M338" s="108" t="inlineStr">
        <is>
          <t>Sigma Inc</t>
        </is>
      </c>
      <c r="N338" s="108" t="inlineStr">
        <is>
          <t>Small (&lt;$10K)</t>
        </is>
      </c>
      <c r="O338" s="108" t="inlineStr">
        <is>
          <t>Email Campaign</t>
        </is>
      </c>
      <c r="P338" s="110">
        <f>H338*0.08</f>
        <v/>
      </c>
      <c r="Q338" s="137" t="n">
        <v>0.09</v>
      </c>
      <c r="R338" s="108" t="inlineStr">
        <is>
          <t>Q1 deal - Email Campaign channel</t>
        </is>
      </c>
    </row>
    <row r="339" ht="15" customHeight="1" s="77">
      <c r="A339" s="117" t="inlineStr">
        <is>
          <t>2025-04-27</t>
        </is>
      </c>
      <c r="B339" s="117" t="inlineStr">
        <is>
          <t>April</t>
        </is>
      </c>
      <c r="C339" s="117" t="inlineStr">
        <is>
          <t>Robert Taylor</t>
        </is>
      </c>
      <c r="D339" s="117" t="inlineStr">
        <is>
          <t>International</t>
        </is>
      </c>
      <c r="E339" s="117" t="inlineStr">
        <is>
          <t>Product H</t>
        </is>
      </c>
      <c r="F339" s="117" t="inlineStr">
        <is>
          <t>Mid-Market</t>
        </is>
      </c>
      <c r="G339" s="118" t="n">
        <v>20</v>
      </c>
      <c r="H339" s="119" t="n">
        <v>199980</v>
      </c>
      <c r="I339" s="119" t="n">
        <v>236960</v>
      </c>
      <c r="J339" s="119" t="n">
        <v>184075</v>
      </c>
      <c r="K339" s="117" t="inlineStr">
        <is>
          <t>Won</t>
        </is>
      </c>
      <c r="L339" s="140" t="n">
        <v>116</v>
      </c>
      <c r="M339" s="117" t="inlineStr">
        <is>
          <t>Tau LLC</t>
        </is>
      </c>
      <c r="N339" s="117" t="inlineStr">
        <is>
          <t>Large ($50K-$200K)</t>
        </is>
      </c>
      <c r="O339" s="117" t="inlineStr">
        <is>
          <t>Webinar</t>
        </is>
      </c>
      <c r="P339" s="119">
        <f>H339*0.08</f>
        <v/>
      </c>
      <c r="Q339" s="139" t="n">
        <v>0.06</v>
      </c>
      <c r="R339" s="117" t="inlineStr">
        <is>
          <t>Q2 deal - Webinar channel</t>
        </is>
      </c>
    </row>
    <row r="340" ht="15" customHeight="1" s="77">
      <c r="A340" s="108" t="inlineStr">
        <is>
          <t>2025-10-13</t>
        </is>
      </c>
      <c r="B340" s="108" t="inlineStr">
        <is>
          <t>October</t>
        </is>
      </c>
      <c r="C340" s="108" t="inlineStr">
        <is>
          <t>Jennifer Moore</t>
        </is>
      </c>
      <c r="D340" s="108" t="inlineStr">
        <is>
          <t>North</t>
        </is>
      </c>
      <c r="E340" s="108" t="inlineStr">
        <is>
          <t>Product I</t>
        </is>
      </c>
      <c r="F340" s="108" t="inlineStr">
        <is>
          <t>Startup</t>
        </is>
      </c>
      <c r="G340" s="109" t="n">
        <v>49</v>
      </c>
      <c r="H340" s="110" t="n">
        <v>1469951</v>
      </c>
      <c r="I340" s="110" t="n">
        <v>1455171</v>
      </c>
      <c r="J340" s="110" t="n">
        <v>1398332</v>
      </c>
      <c r="K340" s="108" t="inlineStr">
        <is>
          <t>Won</t>
        </is>
      </c>
      <c r="L340" s="138" t="n">
        <v>59</v>
      </c>
      <c r="M340" s="108" t="inlineStr">
        <is>
          <t>Upsilon Ltd</t>
        </is>
      </c>
      <c r="N340" s="108" t="inlineStr">
        <is>
          <t>Enterprise (&gt;$200K)</t>
        </is>
      </c>
      <c r="O340" s="108" t="inlineStr">
        <is>
          <t>SEO</t>
        </is>
      </c>
      <c r="P340" s="110">
        <f>H340*0.08</f>
        <v/>
      </c>
      <c r="Q340" s="137" t="n">
        <v>0.1</v>
      </c>
      <c r="R340" s="108" t="inlineStr">
        <is>
          <t>Q3 deal - SEO channel</t>
        </is>
      </c>
    </row>
    <row r="341" ht="15" customHeight="1" s="77">
      <c r="A341" s="117" t="inlineStr">
        <is>
          <t>2025-01-12</t>
        </is>
      </c>
      <c r="B341" s="117" t="inlineStr">
        <is>
          <t>January</t>
        </is>
      </c>
      <c r="C341" s="117" t="inlineStr">
        <is>
          <t>Daniel Jackson</t>
        </is>
      </c>
      <c r="D341" s="117" t="inlineStr">
        <is>
          <t>West</t>
        </is>
      </c>
      <c r="E341" s="117" t="inlineStr">
        <is>
          <t>Product J</t>
        </is>
      </c>
      <c r="F341" s="117" t="inlineStr">
        <is>
          <t>Government</t>
        </is>
      </c>
      <c r="G341" s="118" t="n">
        <v>15</v>
      </c>
      <c r="H341" s="119" t="n">
        <v>299985</v>
      </c>
      <c r="I341" s="119" t="n">
        <v>330826</v>
      </c>
      <c r="J341" s="119" t="n">
        <v>277990</v>
      </c>
      <c r="K341" s="117" t="inlineStr">
        <is>
          <t>Lost</t>
        </is>
      </c>
      <c r="L341" s="140" t="n">
        <v>23</v>
      </c>
      <c r="M341" s="117" t="inlineStr">
        <is>
          <t>Phi Co</t>
        </is>
      </c>
      <c r="N341" s="117" t="inlineStr">
        <is>
          <t>Enterprise (&gt;$200K)</t>
        </is>
      </c>
      <c r="O341" s="117" t="inlineStr">
        <is>
          <t>Direct</t>
        </is>
      </c>
      <c r="P341" s="119">
        <f>H341*0.08</f>
        <v/>
      </c>
      <c r="Q341" s="139" t="n">
        <v>0.12</v>
      </c>
      <c r="R341" s="117" t="inlineStr">
        <is>
          <t>Q4 deal - Direct channel</t>
        </is>
      </c>
    </row>
    <row r="342" ht="15" customHeight="1" s="77">
      <c r="A342" s="108" t="inlineStr">
        <is>
          <t>2025-07-20</t>
        </is>
      </c>
      <c r="B342" s="108" t="inlineStr">
        <is>
          <t>July</t>
        </is>
      </c>
      <c r="C342" s="108" t="inlineStr">
        <is>
          <t>Sarah Johnson</t>
        </is>
      </c>
      <c r="D342" s="108" t="inlineStr">
        <is>
          <t>North</t>
        </is>
      </c>
      <c r="E342" s="108" t="inlineStr">
        <is>
          <t>Product A</t>
        </is>
      </c>
      <c r="F342" s="108" t="inlineStr">
        <is>
          <t>Enterprise</t>
        </is>
      </c>
      <c r="G342" s="109" t="n">
        <v>24</v>
      </c>
      <c r="H342" s="110" t="n">
        <v>1199976</v>
      </c>
      <c r="I342" s="110" t="n">
        <v>1081464</v>
      </c>
      <c r="J342" s="110" t="n">
        <v>1129694</v>
      </c>
      <c r="K342" s="108" t="inlineStr">
        <is>
          <t>In Progress</t>
        </is>
      </c>
      <c r="L342" s="138" t="n">
        <v>55</v>
      </c>
      <c r="M342" s="108" t="inlineStr">
        <is>
          <t>Acme Corp</t>
        </is>
      </c>
      <c r="N342" s="108" t="inlineStr">
        <is>
          <t>Enterprise (&gt;$200K)</t>
        </is>
      </c>
      <c r="O342" s="108" t="inlineStr">
        <is>
          <t>Referral</t>
        </is>
      </c>
      <c r="P342" s="110">
        <f>H342*0.08</f>
        <v/>
      </c>
      <c r="Q342" s="137" t="n">
        <v>0.08</v>
      </c>
      <c r="R342" s="108" t="inlineStr">
        <is>
          <t>Q1 deal - Referral channel</t>
        </is>
      </c>
    </row>
    <row r="343" ht="15" customHeight="1" s="77">
      <c r="A343" s="117" t="inlineStr">
        <is>
          <t>2025-01-08</t>
        </is>
      </c>
      <c r="B343" s="117" t="inlineStr">
        <is>
          <t>January</t>
        </is>
      </c>
      <c r="C343" s="117" t="inlineStr">
        <is>
          <t>Mike Chen</t>
        </is>
      </c>
      <c r="D343" s="117" t="inlineStr">
        <is>
          <t>West</t>
        </is>
      </c>
      <c r="E343" s="117" t="inlineStr">
        <is>
          <t>Product B</t>
        </is>
      </c>
      <c r="F343" s="117" t="inlineStr">
        <is>
          <t>SMB</t>
        </is>
      </c>
      <c r="G343" s="118" t="n">
        <v>2</v>
      </c>
      <c r="H343" s="119" t="n">
        <v>15998</v>
      </c>
      <c r="I343" s="119" t="n">
        <v>15516</v>
      </c>
      <c r="J343" s="119" t="n">
        <v>15110</v>
      </c>
      <c r="K343" s="117" t="inlineStr">
        <is>
          <t>In Progress</t>
        </is>
      </c>
      <c r="L343" s="140" t="n">
        <v>110</v>
      </c>
      <c r="M343" s="117" t="inlineStr">
        <is>
          <t>Beta Inc</t>
        </is>
      </c>
      <c r="N343" s="117" t="inlineStr">
        <is>
          <t>Medium ($10K-$50K)</t>
        </is>
      </c>
      <c r="O343" s="117" t="inlineStr">
        <is>
          <t>Cold Call</t>
        </is>
      </c>
      <c r="P343" s="119">
        <f>H343*0.08</f>
        <v/>
      </c>
      <c r="Q343" s="139" t="n">
        <v>0.05</v>
      </c>
      <c r="R343" s="117" t="inlineStr">
        <is>
          <t>Q2 deal - Cold Call channel</t>
        </is>
      </c>
    </row>
    <row r="344" ht="15" customHeight="1" s="77">
      <c r="A344" s="108" t="inlineStr">
        <is>
          <t>2025-06-02</t>
        </is>
      </c>
      <c r="B344" s="108" t="inlineStr">
        <is>
          <t>June</t>
        </is>
      </c>
      <c r="C344" s="108" t="inlineStr">
        <is>
          <t>Priya Sharma</t>
        </is>
      </c>
      <c r="D344" s="108" t="inlineStr">
        <is>
          <t>East</t>
        </is>
      </c>
      <c r="E344" s="108" t="inlineStr">
        <is>
          <t>Product C</t>
        </is>
      </c>
      <c r="F344" s="108" t="inlineStr">
        <is>
          <t>Mid-Market</t>
        </is>
      </c>
      <c r="G344" s="109" t="n">
        <v>13</v>
      </c>
      <c r="H344" s="110" t="n">
        <v>129987</v>
      </c>
      <c r="I344" s="110" t="n">
        <v>126782</v>
      </c>
      <c r="J344" s="110" t="n">
        <v>142543</v>
      </c>
      <c r="K344" s="108" t="inlineStr">
        <is>
          <t>Won</t>
        </is>
      </c>
      <c r="L344" s="138" t="n">
        <v>118</v>
      </c>
      <c r="M344" s="108" t="inlineStr">
        <is>
          <t>Gamma LLC</t>
        </is>
      </c>
      <c r="N344" s="108" t="inlineStr">
        <is>
          <t>Large ($50K-$200K)</t>
        </is>
      </c>
      <c r="O344" s="108" t="inlineStr">
        <is>
          <t>LinkedIn</t>
        </is>
      </c>
      <c r="P344" s="110">
        <f>H344*0.08</f>
        <v/>
      </c>
      <c r="Q344" s="137" t="n">
        <v>0.08</v>
      </c>
      <c r="R344" s="108" t="inlineStr">
        <is>
          <t>Q3 deal - LinkedIn channel</t>
        </is>
      </c>
    </row>
    <row r="345" ht="15" customHeight="1" s="77">
      <c r="A345" s="117" t="inlineStr">
        <is>
          <t>2025-11-13</t>
        </is>
      </c>
      <c r="B345" s="117" t="inlineStr">
        <is>
          <t>November</t>
        </is>
      </c>
      <c r="C345" s="117" t="inlineStr">
        <is>
          <t>James Williams</t>
        </is>
      </c>
      <c r="D345" s="117" t="inlineStr">
        <is>
          <t>South</t>
        </is>
      </c>
      <c r="E345" s="117" t="inlineStr">
        <is>
          <t>Product D</t>
        </is>
      </c>
      <c r="F345" s="117" t="inlineStr">
        <is>
          <t>Startup</t>
        </is>
      </c>
      <c r="G345" s="118" t="n">
        <v>34</v>
      </c>
      <c r="H345" s="119" t="n">
        <v>339966</v>
      </c>
      <c r="I345" s="119" t="n">
        <v>349379</v>
      </c>
      <c r="J345" s="119" t="n">
        <v>351298</v>
      </c>
      <c r="K345" s="117" t="inlineStr">
        <is>
          <t>Won</t>
        </is>
      </c>
      <c r="L345" s="140" t="n">
        <v>8</v>
      </c>
      <c r="M345" s="117" t="inlineStr">
        <is>
          <t>Delta Ltd</t>
        </is>
      </c>
      <c r="N345" s="117" t="inlineStr">
        <is>
          <t>Enterprise (&gt;$200K)</t>
        </is>
      </c>
      <c r="O345" s="117" t="inlineStr">
        <is>
          <t>Trade Show</t>
        </is>
      </c>
      <c r="P345" s="119">
        <f>H345*0.08</f>
        <v/>
      </c>
      <c r="Q345" s="139" t="n">
        <v>0.15</v>
      </c>
      <c r="R345" s="117" t="inlineStr">
        <is>
          <t>Q4 deal - Trade Show channel</t>
        </is>
      </c>
    </row>
    <row r="346" ht="15" customHeight="1" s="77">
      <c r="A346" s="108" t="inlineStr">
        <is>
          <t>2025-11-12</t>
        </is>
      </c>
      <c r="B346" s="108" t="inlineStr">
        <is>
          <t>November</t>
        </is>
      </c>
      <c r="C346" s="108" t="inlineStr">
        <is>
          <t>Emily Davis</t>
        </is>
      </c>
      <c r="D346" s="108" t="inlineStr">
        <is>
          <t>Central</t>
        </is>
      </c>
      <c r="E346" s="108" t="inlineStr">
        <is>
          <t>Product E</t>
        </is>
      </c>
      <c r="F346" s="108" t="inlineStr">
        <is>
          <t>Government</t>
        </is>
      </c>
      <c r="G346" s="109" t="n">
        <v>10</v>
      </c>
      <c r="H346" s="110" t="n">
        <v>79990</v>
      </c>
      <c r="I346" s="110" t="n">
        <v>74604</v>
      </c>
      <c r="J346" s="110" t="n">
        <v>79436</v>
      </c>
      <c r="K346" s="108" t="inlineStr">
        <is>
          <t>Won</t>
        </is>
      </c>
      <c r="L346" s="138" t="n">
        <v>101</v>
      </c>
      <c r="M346" s="108" t="inlineStr">
        <is>
          <t>Epsilon Co</t>
        </is>
      </c>
      <c r="N346" s="108" t="inlineStr">
        <is>
          <t>Large ($50K-$200K)</t>
        </is>
      </c>
      <c r="O346" s="108" t="inlineStr">
        <is>
          <t>Website</t>
        </is>
      </c>
      <c r="P346" s="110">
        <f>H346*0.08</f>
        <v/>
      </c>
      <c r="Q346" s="137" t="n">
        <v>0.13</v>
      </c>
      <c r="R346" s="108" t="inlineStr">
        <is>
          <t>Q1 deal - Website channel</t>
        </is>
      </c>
    </row>
    <row r="347" ht="15" customHeight="1" s="77">
      <c r="A347" s="117" t="inlineStr">
        <is>
          <t>2025-04-25</t>
        </is>
      </c>
      <c r="B347" s="117" t="inlineStr">
        <is>
          <t>April</t>
        </is>
      </c>
      <c r="C347" s="117" t="inlineStr">
        <is>
          <t>Carlos Ruiz</t>
        </is>
      </c>
      <c r="D347" s="117" t="inlineStr">
        <is>
          <t>International</t>
        </is>
      </c>
      <c r="E347" s="117" t="inlineStr">
        <is>
          <t>Product F</t>
        </is>
      </c>
      <c r="F347" s="117" t="inlineStr">
        <is>
          <t>Enterprise</t>
        </is>
      </c>
      <c r="G347" s="118" t="n">
        <v>17</v>
      </c>
      <c r="H347" s="119" t="n">
        <v>509983</v>
      </c>
      <c r="I347" s="119" t="n">
        <v>580307</v>
      </c>
      <c r="J347" s="119" t="n">
        <v>458007</v>
      </c>
      <c r="K347" s="117" t="inlineStr">
        <is>
          <t>Won</t>
        </is>
      </c>
      <c r="L347" s="140" t="n">
        <v>61</v>
      </c>
      <c r="M347" s="117" t="inlineStr">
        <is>
          <t>Zeta Corp</t>
        </is>
      </c>
      <c r="N347" s="117" t="inlineStr">
        <is>
          <t>Enterprise (&gt;$200K)</t>
        </is>
      </c>
      <c r="O347" s="117" t="inlineStr">
        <is>
          <t>Partner</t>
        </is>
      </c>
      <c r="P347" s="119">
        <f>H347*0.08</f>
        <v/>
      </c>
      <c r="Q347" s="139" t="n">
        <v>0.12</v>
      </c>
      <c r="R347" s="117" t="inlineStr">
        <is>
          <t>Q2 deal - Partner channel</t>
        </is>
      </c>
    </row>
    <row r="348" ht="15" customHeight="1" s="77">
      <c r="A348" s="108" t="inlineStr">
        <is>
          <t>2025-06-01</t>
        </is>
      </c>
      <c r="B348" s="108" t="inlineStr">
        <is>
          <t>June</t>
        </is>
      </c>
      <c r="C348" s="108" t="inlineStr">
        <is>
          <t>Lisa Park</t>
        </is>
      </c>
      <c r="D348" s="108" t="inlineStr">
        <is>
          <t>North</t>
        </is>
      </c>
      <c r="E348" s="108" t="inlineStr">
        <is>
          <t>Product G</t>
        </is>
      </c>
      <c r="F348" s="108" t="inlineStr">
        <is>
          <t>SMB</t>
        </is>
      </c>
      <c r="G348" s="109" t="n">
        <v>17</v>
      </c>
      <c r="H348" s="110" t="n">
        <v>849983</v>
      </c>
      <c r="I348" s="110" t="n">
        <v>943333</v>
      </c>
      <c r="J348" s="110" t="n">
        <v>821927</v>
      </c>
      <c r="K348" s="108" t="inlineStr">
        <is>
          <t>Lost</t>
        </is>
      </c>
      <c r="L348" s="138" t="n">
        <v>46</v>
      </c>
      <c r="M348" s="108" t="inlineStr">
        <is>
          <t>Eta Inc</t>
        </is>
      </c>
      <c r="N348" s="108" t="inlineStr">
        <is>
          <t>Enterprise (&gt;$200K)</t>
        </is>
      </c>
      <c r="O348" s="108" t="inlineStr">
        <is>
          <t>Email Campaign</t>
        </is>
      </c>
      <c r="P348" s="110">
        <f>H348*0.08</f>
        <v/>
      </c>
      <c r="Q348" s="137" t="n">
        <v>0.03</v>
      </c>
      <c r="R348" s="108" t="inlineStr">
        <is>
          <t>Q3 deal - Email Campaign channel</t>
        </is>
      </c>
    </row>
    <row r="349" ht="15" customHeight="1" s="77">
      <c r="A349" s="117" t="inlineStr">
        <is>
          <t>2025-01-13</t>
        </is>
      </c>
      <c r="B349" s="117" t="inlineStr">
        <is>
          <t>January</t>
        </is>
      </c>
      <c r="C349" s="117" t="inlineStr">
        <is>
          <t>Tom Brown</t>
        </is>
      </c>
      <c r="D349" s="117" t="inlineStr">
        <is>
          <t>West</t>
        </is>
      </c>
      <c r="E349" s="117" t="inlineStr">
        <is>
          <t>Product H</t>
        </is>
      </c>
      <c r="F349" s="117" t="inlineStr">
        <is>
          <t>Mid-Market</t>
        </is>
      </c>
      <c r="G349" s="118" t="n">
        <v>19</v>
      </c>
      <c r="H349" s="119" t="n">
        <v>94981</v>
      </c>
      <c r="I349" s="119" t="n">
        <v>105038</v>
      </c>
      <c r="J349" s="119" t="n">
        <v>97849</v>
      </c>
      <c r="K349" s="117" t="inlineStr">
        <is>
          <t>In Progress</t>
        </is>
      </c>
      <c r="L349" s="140" t="n">
        <v>45</v>
      </c>
      <c r="M349" s="117" t="inlineStr">
        <is>
          <t>Theta LLC</t>
        </is>
      </c>
      <c r="N349" s="117" t="inlineStr">
        <is>
          <t>Large ($50K-$200K)</t>
        </is>
      </c>
      <c r="O349" s="117" t="inlineStr">
        <is>
          <t>Webinar</t>
        </is>
      </c>
      <c r="P349" s="119">
        <f>H349*0.08</f>
        <v/>
      </c>
      <c r="Q349" s="139" t="n">
        <v>0.1</v>
      </c>
      <c r="R349" s="117" t="inlineStr">
        <is>
          <t>Q4 deal - Webinar channel</t>
        </is>
      </c>
    </row>
    <row r="350" ht="15" customHeight="1" s="77">
      <c r="A350" s="108" t="inlineStr">
        <is>
          <t>2025-12-20</t>
        </is>
      </c>
      <c r="B350" s="108" t="inlineStr">
        <is>
          <t>December</t>
        </is>
      </c>
      <c r="C350" s="108" t="inlineStr">
        <is>
          <t>Anna Schmidt</t>
        </is>
      </c>
      <c r="D350" s="108" t="inlineStr">
        <is>
          <t>East</t>
        </is>
      </c>
      <c r="E350" s="108" t="inlineStr">
        <is>
          <t>Product I</t>
        </is>
      </c>
      <c r="F350" s="108" t="inlineStr">
        <is>
          <t>Startup</t>
        </is>
      </c>
      <c r="G350" s="109" t="n">
        <v>49</v>
      </c>
      <c r="H350" s="110" t="n">
        <v>489951</v>
      </c>
      <c r="I350" s="110" t="n">
        <v>550810</v>
      </c>
      <c r="J350" s="110" t="n">
        <v>442834</v>
      </c>
      <c r="K350" s="108" t="inlineStr">
        <is>
          <t>In Progress</t>
        </is>
      </c>
      <c r="L350" s="138" t="n">
        <v>112</v>
      </c>
      <c r="M350" s="108" t="inlineStr">
        <is>
          <t>Iota Ltd</t>
        </is>
      </c>
      <c r="N350" s="108" t="inlineStr">
        <is>
          <t>Enterprise (&gt;$200K)</t>
        </is>
      </c>
      <c r="O350" s="108" t="inlineStr">
        <is>
          <t>SEO</t>
        </is>
      </c>
      <c r="P350" s="110">
        <f>H350*0.08</f>
        <v/>
      </c>
      <c r="Q350" s="137" t="n">
        <v>0.15</v>
      </c>
      <c r="R350" s="108" t="inlineStr">
        <is>
          <t>Q1 deal - SEO channel</t>
        </is>
      </c>
    </row>
    <row r="351" ht="15" customHeight="1" s="77">
      <c r="A351" s="117" t="inlineStr">
        <is>
          <t>2025-02-18</t>
        </is>
      </c>
      <c r="B351" s="117" t="inlineStr">
        <is>
          <t>February</t>
        </is>
      </c>
      <c r="C351" s="117" t="inlineStr">
        <is>
          <t>David Kim</t>
        </is>
      </c>
      <c r="D351" s="117" t="inlineStr">
        <is>
          <t>South</t>
        </is>
      </c>
      <c r="E351" s="117" t="inlineStr">
        <is>
          <t>Product J</t>
        </is>
      </c>
      <c r="F351" s="117" t="inlineStr">
        <is>
          <t>Government</t>
        </is>
      </c>
      <c r="G351" s="118" t="n">
        <v>43</v>
      </c>
      <c r="H351" s="119" t="n">
        <v>429957</v>
      </c>
      <c r="I351" s="119" t="n">
        <v>468899</v>
      </c>
      <c r="J351" s="119" t="n">
        <v>420390</v>
      </c>
      <c r="K351" s="117" t="inlineStr">
        <is>
          <t>Won</t>
        </is>
      </c>
      <c r="L351" s="140" t="n">
        <v>95</v>
      </c>
      <c r="M351" s="117" t="inlineStr">
        <is>
          <t>Kappa Co</t>
        </is>
      </c>
      <c r="N351" s="117" t="inlineStr">
        <is>
          <t>Enterprise (&gt;$200K)</t>
        </is>
      </c>
      <c r="O351" s="117" t="inlineStr">
        <is>
          <t>Direct</t>
        </is>
      </c>
      <c r="P351" s="119">
        <f>H351*0.08</f>
        <v/>
      </c>
      <c r="Q351" s="139" t="n">
        <v>0</v>
      </c>
      <c r="R351" s="117" t="inlineStr">
        <is>
          <t>Q2 deal - Direct channel</t>
        </is>
      </c>
    </row>
    <row r="352" ht="15" customHeight="1" s="77">
      <c r="A352" s="108" t="inlineStr">
        <is>
          <t>2025-11-13</t>
        </is>
      </c>
      <c r="B352" s="108" t="inlineStr">
        <is>
          <t>November</t>
        </is>
      </c>
      <c r="C352" s="108" t="inlineStr">
        <is>
          <t>Rachel Green</t>
        </is>
      </c>
      <c r="D352" s="108" t="inlineStr">
        <is>
          <t>Central</t>
        </is>
      </c>
      <c r="E352" s="108" t="inlineStr">
        <is>
          <t>Product A</t>
        </is>
      </c>
      <c r="F352" s="108" t="inlineStr">
        <is>
          <t>Enterprise</t>
        </is>
      </c>
      <c r="G352" s="109" t="n">
        <v>41</v>
      </c>
      <c r="H352" s="110" t="n">
        <v>1024959</v>
      </c>
      <c r="I352" s="110" t="n">
        <v>1030532</v>
      </c>
      <c r="J352" s="110" t="n">
        <v>876552</v>
      </c>
      <c r="K352" s="108" t="inlineStr">
        <is>
          <t>Won</t>
        </is>
      </c>
      <c r="L352" s="138" t="n">
        <v>70</v>
      </c>
      <c r="M352" s="108" t="inlineStr">
        <is>
          <t>Lambda Corp</t>
        </is>
      </c>
      <c r="N352" s="108" t="inlineStr">
        <is>
          <t>Enterprise (&gt;$200K)</t>
        </is>
      </c>
      <c r="O352" s="108" t="inlineStr">
        <is>
          <t>Referral</t>
        </is>
      </c>
      <c r="P352" s="110">
        <f>H352*0.08</f>
        <v/>
      </c>
      <c r="Q352" s="137" t="n">
        <v>0.04</v>
      </c>
      <c r="R352" s="108" t="inlineStr">
        <is>
          <t>Q3 deal - Referral channel</t>
        </is>
      </c>
    </row>
    <row r="353" ht="15" customHeight="1" s="77">
      <c r="A353" s="117" t="inlineStr">
        <is>
          <t>2025-01-20</t>
        </is>
      </c>
      <c r="B353" s="117" t="inlineStr">
        <is>
          <t>January</t>
        </is>
      </c>
      <c r="C353" s="117" t="inlineStr">
        <is>
          <t>Mark Thompson</t>
        </is>
      </c>
      <c r="D353" s="117" t="inlineStr">
        <is>
          <t>International</t>
        </is>
      </c>
      <c r="E353" s="117" t="inlineStr">
        <is>
          <t>Product B</t>
        </is>
      </c>
      <c r="F353" s="117" t="inlineStr">
        <is>
          <t>SMB</t>
        </is>
      </c>
      <c r="G353" s="118" t="n">
        <v>19</v>
      </c>
      <c r="H353" s="119" t="n">
        <v>94981</v>
      </c>
      <c r="I353" s="119" t="n">
        <v>104576</v>
      </c>
      <c r="J353" s="119" t="n">
        <v>95273</v>
      </c>
      <c r="K353" s="117" t="inlineStr">
        <is>
          <t>Won</t>
        </is>
      </c>
      <c r="L353" s="140" t="n">
        <v>36</v>
      </c>
      <c r="M353" s="117" t="inlineStr">
        <is>
          <t>Mu Inc</t>
        </is>
      </c>
      <c r="N353" s="117" t="inlineStr">
        <is>
          <t>Large ($50K-$200K)</t>
        </is>
      </c>
      <c r="O353" s="117" t="inlineStr">
        <is>
          <t>Cold Call</t>
        </is>
      </c>
      <c r="P353" s="119">
        <f>H353*0.08</f>
        <v/>
      </c>
      <c r="Q353" s="139" t="n">
        <v>0.03</v>
      </c>
      <c r="R353" s="117" t="inlineStr">
        <is>
          <t>Q4 deal - Cold Call channel</t>
        </is>
      </c>
    </row>
    <row r="354" ht="15" customHeight="1" s="77">
      <c r="A354" s="108" t="inlineStr">
        <is>
          <t>2025-10-05</t>
        </is>
      </c>
      <c r="B354" s="108" t="inlineStr">
        <is>
          <t>October</t>
        </is>
      </c>
      <c r="C354" s="108" t="inlineStr">
        <is>
          <t>Susan Lee</t>
        </is>
      </c>
      <c r="D354" s="108" t="inlineStr">
        <is>
          <t>North</t>
        </is>
      </c>
      <c r="E354" s="108" t="inlineStr">
        <is>
          <t>Product C</t>
        </is>
      </c>
      <c r="F354" s="108" t="inlineStr">
        <is>
          <t>Mid-Market</t>
        </is>
      </c>
      <c r="G354" s="109" t="n">
        <v>19</v>
      </c>
      <c r="H354" s="110" t="n">
        <v>189981</v>
      </c>
      <c r="I354" s="110" t="n">
        <v>224656</v>
      </c>
      <c r="J354" s="110" t="n">
        <v>191112</v>
      </c>
      <c r="K354" s="108" t="inlineStr">
        <is>
          <t>Won</t>
        </is>
      </c>
      <c r="L354" s="138" t="n">
        <v>45</v>
      </c>
      <c r="M354" s="108" t="inlineStr">
        <is>
          <t>Nu LLC</t>
        </is>
      </c>
      <c r="N354" s="108" t="inlineStr">
        <is>
          <t>Large ($50K-$200K)</t>
        </is>
      </c>
      <c r="O354" s="108" t="inlineStr">
        <is>
          <t>LinkedIn</t>
        </is>
      </c>
      <c r="P354" s="110">
        <f>H354*0.08</f>
        <v/>
      </c>
      <c r="Q354" s="137" t="n">
        <v>0.06</v>
      </c>
      <c r="R354" s="108" t="inlineStr">
        <is>
          <t>Q1 deal - LinkedIn channel</t>
        </is>
      </c>
    </row>
    <row r="355" ht="15" customHeight="1" s="77">
      <c r="A355" s="117" t="inlineStr">
        <is>
          <t>2025-10-30</t>
        </is>
      </c>
      <c r="B355" s="117" t="inlineStr">
        <is>
          <t>October</t>
        </is>
      </c>
      <c r="C355" s="117" t="inlineStr">
        <is>
          <t>Kevin Martin</t>
        </is>
      </c>
      <c r="D355" s="117" t="inlineStr">
        <is>
          <t>West</t>
        </is>
      </c>
      <c r="E355" s="117" t="inlineStr">
        <is>
          <t>Product D</t>
        </is>
      </c>
      <c r="F355" s="117" t="inlineStr">
        <is>
          <t>Startup</t>
        </is>
      </c>
      <c r="G355" s="118" t="n">
        <v>12</v>
      </c>
      <c r="H355" s="119" t="n">
        <v>359988</v>
      </c>
      <c r="I355" s="119" t="n">
        <v>335448</v>
      </c>
      <c r="J355" s="119" t="n">
        <v>326169</v>
      </c>
      <c r="K355" s="117" t="inlineStr">
        <is>
          <t>Lost</t>
        </is>
      </c>
      <c r="L355" s="140" t="n">
        <v>31</v>
      </c>
      <c r="M355" s="117" t="inlineStr">
        <is>
          <t>Xi Ltd</t>
        </is>
      </c>
      <c r="N355" s="117" t="inlineStr">
        <is>
          <t>Enterprise (&gt;$200K)</t>
        </is>
      </c>
      <c r="O355" s="117" t="inlineStr">
        <is>
          <t>Trade Show</t>
        </is>
      </c>
      <c r="P355" s="119">
        <f>H355*0.08</f>
        <v/>
      </c>
      <c r="Q355" s="139" t="n">
        <v>0.02</v>
      </c>
      <c r="R355" s="117" t="inlineStr">
        <is>
          <t>Q2 deal - Trade Show channel</t>
        </is>
      </c>
    </row>
    <row r="356" ht="15" customHeight="1" s="77">
      <c r="A356" s="108" t="inlineStr">
        <is>
          <t>2025-01-29</t>
        </is>
      </c>
      <c r="B356" s="108" t="inlineStr">
        <is>
          <t>January</t>
        </is>
      </c>
      <c r="C356" s="108" t="inlineStr">
        <is>
          <t>Nina Patel</t>
        </is>
      </c>
      <c r="D356" s="108" t="inlineStr">
        <is>
          <t>East</t>
        </is>
      </c>
      <c r="E356" s="108" t="inlineStr">
        <is>
          <t>Product E</t>
        </is>
      </c>
      <c r="F356" s="108" t="inlineStr">
        <is>
          <t>Government</t>
        </is>
      </c>
      <c r="G356" s="109" t="n">
        <v>50</v>
      </c>
      <c r="H356" s="110" t="n">
        <v>999950</v>
      </c>
      <c r="I356" s="110" t="n">
        <v>1066177</v>
      </c>
      <c r="J356" s="110" t="n">
        <v>1006238</v>
      </c>
      <c r="K356" s="108" t="inlineStr">
        <is>
          <t>In Progress</t>
        </is>
      </c>
      <c r="L356" s="138" t="n">
        <v>16</v>
      </c>
      <c r="M356" s="108" t="inlineStr">
        <is>
          <t>Pi Co</t>
        </is>
      </c>
      <c r="N356" s="108" t="inlineStr">
        <is>
          <t>Enterprise (&gt;$200K)</t>
        </is>
      </c>
      <c r="O356" s="108" t="inlineStr">
        <is>
          <t>Website</t>
        </is>
      </c>
      <c r="P356" s="110">
        <f>H356*0.08</f>
        <v/>
      </c>
      <c r="Q356" s="137" t="n">
        <v>0.15</v>
      </c>
      <c r="R356" s="108" t="inlineStr">
        <is>
          <t>Q3 deal - Website channel</t>
        </is>
      </c>
    </row>
    <row r="357" ht="15" customHeight="1" s="77">
      <c r="A357" s="117" t="inlineStr">
        <is>
          <t>2025-09-29</t>
        </is>
      </c>
      <c r="B357" s="117" t="inlineStr">
        <is>
          <t>September</t>
        </is>
      </c>
      <c r="C357" s="117" t="inlineStr">
        <is>
          <t>Chris Wilson</t>
        </is>
      </c>
      <c r="D357" s="117" t="inlineStr">
        <is>
          <t>South</t>
        </is>
      </c>
      <c r="E357" s="117" t="inlineStr">
        <is>
          <t>Product F</t>
        </is>
      </c>
      <c r="F357" s="117" t="inlineStr">
        <is>
          <t>Enterprise</t>
        </is>
      </c>
      <c r="G357" s="118" t="n">
        <v>48</v>
      </c>
      <c r="H357" s="119" t="n">
        <v>719952</v>
      </c>
      <c r="I357" s="119" t="n">
        <v>698274</v>
      </c>
      <c r="J357" s="119" t="n">
        <v>666100</v>
      </c>
      <c r="K357" s="117" t="inlineStr">
        <is>
          <t>In Progress</t>
        </is>
      </c>
      <c r="L357" s="140" t="n">
        <v>102</v>
      </c>
      <c r="M357" s="117" t="inlineStr">
        <is>
          <t>Rho Corp</t>
        </is>
      </c>
      <c r="N357" s="117" t="inlineStr">
        <is>
          <t>Enterprise (&gt;$200K)</t>
        </is>
      </c>
      <c r="O357" s="117" t="inlineStr">
        <is>
          <t>Partner</t>
        </is>
      </c>
      <c r="P357" s="119">
        <f>H357*0.08</f>
        <v/>
      </c>
      <c r="Q357" s="139" t="n">
        <v>0.03</v>
      </c>
      <c r="R357" s="117" t="inlineStr">
        <is>
          <t>Q4 deal - Partner channel</t>
        </is>
      </c>
    </row>
    <row r="358" ht="15" customHeight="1" s="77">
      <c r="A358" s="108" t="inlineStr">
        <is>
          <t>2025-11-28</t>
        </is>
      </c>
      <c r="B358" s="108" t="inlineStr">
        <is>
          <t>November</t>
        </is>
      </c>
      <c r="C358" s="108" t="inlineStr">
        <is>
          <t>Amanda Foster</t>
        </is>
      </c>
      <c r="D358" s="108" t="inlineStr">
        <is>
          <t>Central</t>
        </is>
      </c>
      <c r="E358" s="108" t="inlineStr">
        <is>
          <t>Product G</t>
        </is>
      </c>
      <c r="F358" s="108" t="inlineStr">
        <is>
          <t>SMB</t>
        </is>
      </c>
      <c r="G358" s="109" t="n">
        <v>16</v>
      </c>
      <c r="H358" s="110" t="n">
        <v>479984</v>
      </c>
      <c r="I358" s="110" t="n">
        <v>507393</v>
      </c>
      <c r="J358" s="110" t="n">
        <v>517528</v>
      </c>
      <c r="K358" s="108" t="inlineStr">
        <is>
          <t>Won</t>
        </is>
      </c>
      <c r="L358" s="138" t="n">
        <v>14</v>
      </c>
      <c r="M358" s="108" t="inlineStr">
        <is>
          <t>Sigma Inc</t>
        </is>
      </c>
      <c r="N358" s="108" t="inlineStr">
        <is>
          <t>Enterprise (&gt;$200K)</t>
        </is>
      </c>
      <c r="O358" s="108" t="inlineStr">
        <is>
          <t>Email Campaign</t>
        </is>
      </c>
      <c r="P358" s="110">
        <f>H358*0.08</f>
        <v/>
      </c>
      <c r="Q358" s="137" t="n">
        <v>0.14</v>
      </c>
      <c r="R358" s="108" t="inlineStr">
        <is>
          <t>Q1 deal - Email Campaign channel</t>
        </is>
      </c>
    </row>
    <row r="359" ht="15" customHeight="1" s="77">
      <c r="A359" s="117" t="inlineStr">
        <is>
          <t>2025-03-27</t>
        </is>
      </c>
      <c r="B359" s="117" t="inlineStr">
        <is>
          <t>March</t>
        </is>
      </c>
      <c r="C359" s="117" t="inlineStr">
        <is>
          <t>Robert Taylor</t>
        </is>
      </c>
      <c r="D359" s="117" t="inlineStr">
        <is>
          <t>International</t>
        </is>
      </c>
      <c r="E359" s="117" t="inlineStr">
        <is>
          <t>Product H</t>
        </is>
      </c>
      <c r="F359" s="117" t="inlineStr">
        <is>
          <t>Mid-Market</t>
        </is>
      </c>
      <c r="G359" s="118" t="n">
        <v>38</v>
      </c>
      <c r="H359" s="119" t="n">
        <v>303962</v>
      </c>
      <c r="I359" s="119" t="n">
        <v>328223</v>
      </c>
      <c r="J359" s="119" t="n">
        <v>318759</v>
      </c>
      <c r="K359" s="117" t="inlineStr">
        <is>
          <t>Won</t>
        </is>
      </c>
      <c r="L359" s="140" t="n">
        <v>54</v>
      </c>
      <c r="M359" s="117" t="inlineStr">
        <is>
          <t>Tau LLC</t>
        </is>
      </c>
      <c r="N359" s="117" t="inlineStr">
        <is>
          <t>Enterprise (&gt;$200K)</t>
        </is>
      </c>
      <c r="O359" s="117" t="inlineStr">
        <is>
          <t>Webinar</t>
        </is>
      </c>
      <c r="P359" s="119">
        <f>H359*0.08</f>
        <v/>
      </c>
      <c r="Q359" s="139" t="n">
        <v>0.09</v>
      </c>
      <c r="R359" s="117" t="inlineStr">
        <is>
          <t>Q2 deal - Webinar channel</t>
        </is>
      </c>
    </row>
    <row r="360" ht="15" customHeight="1" s="77">
      <c r="A360" s="108" t="inlineStr">
        <is>
          <t>2025-09-06</t>
        </is>
      </c>
      <c r="B360" s="108" t="inlineStr">
        <is>
          <t>September</t>
        </is>
      </c>
      <c r="C360" s="108" t="inlineStr">
        <is>
          <t>Jennifer Moore</t>
        </is>
      </c>
      <c r="D360" s="108" t="inlineStr">
        <is>
          <t>North</t>
        </is>
      </c>
      <c r="E360" s="108" t="inlineStr">
        <is>
          <t>Product I</t>
        </is>
      </c>
      <c r="F360" s="108" t="inlineStr">
        <is>
          <t>Startup</t>
        </is>
      </c>
      <c r="G360" s="109" t="n">
        <v>2</v>
      </c>
      <c r="H360" s="110" t="n">
        <v>9998</v>
      </c>
      <c r="I360" s="110" t="n">
        <v>11930</v>
      </c>
      <c r="J360" s="110" t="n">
        <v>10669</v>
      </c>
      <c r="K360" s="108" t="inlineStr">
        <is>
          <t>Won</t>
        </is>
      </c>
      <c r="L360" s="138" t="n">
        <v>106</v>
      </c>
      <c r="M360" s="108" t="inlineStr">
        <is>
          <t>Upsilon Ltd</t>
        </is>
      </c>
      <c r="N360" s="108" t="inlineStr">
        <is>
          <t>Small (&lt;$10K)</t>
        </is>
      </c>
      <c r="O360" s="108" t="inlineStr">
        <is>
          <t>SEO</t>
        </is>
      </c>
      <c r="P360" s="110">
        <f>H360*0.08</f>
        <v/>
      </c>
      <c r="Q360" s="137" t="n">
        <v>0.07000000000000001</v>
      </c>
      <c r="R360" s="108" t="inlineStr">
        <is>
          <t>Q3 deal - SEO channel</t>
        </is>
      </c>
    </row>
    <row r="361" ht="15" customHeight="1" s="77">
      <c r="A361" s="117" t="inlineStr">
        <is>
          <t>2025-02-23</t>
        </is>
      </c>
      <c r="B361" s="117" t="inlineStr">
        <is>
          <t>February</t>
        </is>
      </c>
      <c r="C361" s="117" t="inlineStr">
        <is>
          <t>Daniel Jackson</t>
        </is>
      </c>
      <c r="D361" s="117" t="inlineStr">
        <is>
          <t>West</t>
        </is>
      </c>
      <c r="E361" s="117" t="inlineStr">
        <is>
          <t>Product J</t>
        </is>
      </c>
      <c r="F361" s="117" t="inlineStr">
        <is>
          <t>Government</t>
        </is>
      </c>
      <c r="G361" s="118" t="n">
        <v>29</v>
      </c>
      <c r="H361" s="119" t="n">
        <v>579971</v>
      </c>
      <c r="I361" s="119" t="n">
        <v>580368</v>
      </c>
      <c r="J361" s="119" t="n">
        <v>510347</v>
      </c>
      <c r="K361" s="117" t="inlineStr">
        <is>
          <t>Won</t>
        </is>
      </c>
      <c r="L361" s="140" t="n">
        <v>103</v>
      </c>
      <c r="M361" s="117" t="inlineStr">
        <is>
          <t>Phi Co</t>
        </is>
      </c>
      <c r="N361" s="117" t="inlineStr">
        <is>
          <t>Enterprise (&gt;$200K)</t>
        </is>
      </c>
      <c r="O361" s="117" t="inlineStr">
        <is>
          <t>Direct</t>
        </is>
      </c>
      <c r="P361" s="119">
        <f>H361*0.08</f>
        <v/>
      </c>
      <c r="Q361" s="139" t="n">
        <v>0.09</v>
      </c>
      <c r="R361" s="117" t="inlineStr">
        <is>
          <t>Q4 deal - Direct channel</t>
        </is>
      </c>
    </row>
    <row r="362" ht="15" customHeight="1" s="77">
      <c r="A362" s="108" t="inlineStr">
        <is>
          <t>2025-12-01</t>
        </is>
      </c>
      <c r="B362" s="108" t="inlineStr">
        <is>
          <t>December</t>
        </is>
      </c>
      <c r="C362" s="108" t="inlineStr">
        <is>
          <t>Sarah Johnson</t>
        </is>
      </c>
      <c r="D362" s="108" t="inlineStr">
        <is>
          <t>North</t>
        </is>
      </c>
      <c r="E362" s="108" t="inlineStr">
        <is>
          <t>Product A</t>
        </is>
      </c>
      <c r="F362" s="108" t="inlineStr">
        <is>
          <t>Enterprise</t>
        </is>
      </c>
      <c r="G362" s="109" t="n">
        <v>49</v>
      </c>
      <c r="H362" s="110" t="n">
        <v>1224951</v>
      </c>
      <c r="I362" s="110" t="n">
        <v>1466552</v>
      </c>
      <c r="J362" s="110" t="n">
        <v>1274627</v>
      </c>
      <c r="K362" s="108" t="inlineStr">
        <is>
          <t>Lost</t>
        </is>
      </c>
      <c r="L362" s="138" t="n">
        <v>86</v>
      </c>
      <c r="M362" s="108" t="inlineStr">
        <is>
          <t>Acme Corp</t>
        </is>
      </c>
      <c r="N362" s="108" t="inlineStr">
        <is>
          <t>Enterprise (&gt;$200K)</t>
        </is>
      </c>
      <c r="O362" s="108" t="inlineStr">
        <is>
          <t>Referral</t>
        </is>
      </c>
      <c r="P362" s="110">
        <f>H362*0.08</f>
        <v/>
      </c>
      <c r="Q362" s="137" t="n">
        <v>0.1</v>
      </c>
      <c r="R362" s="108" t="inlineStr">
        <is>
          <t>Q1 deal - Referral channel</t>
        </is>
      </c>
    </row>
    <row r="363" ht="15" customHeight="1" s="77">
      <c r="A363" s="117" t="inlineStr">
        <is>
          <t>2025-06-30</t>
        </is>
      </c>
      <c r="B363" s="117" t="inlineStr">
        <is>
          <t>June</t>
        </is>
      </c>
      <c r="C363" s="117" t="inlineStr">
        <is>
          <t>Mike Chen</t>
        </is>
      </c>
      <c r="D363" s="117" t="inlineStr">
        <is>
          <t>West</t>
        </is>
      </c>
      <c r="E363" s="117" t="inlineStr">
        <is>
          <t>Product B</t>
        </is>
      </c>
      <c r="F363" s="117" t="inlineStr">
        <is>
          <t>SMB</t>
        </is>
      </c>
      <c r="G363" s="118" t="n">
        <v>44</v>
      </c>
      <c r="H363" s="119" t="n">
        <v>879956</v>
      </c>
      <c r="I363" s="119" t="n">
        <v>793127</v>
      </c>
      <c r="J363" s="119" t="n">
        <v>875219</v>
      </c>
      <c r="K363" s="117" t="inlineStr">
        <is>
          <t>In Progress</t>
        </is>
      </c>
      <c r="L363" s="140" t="n">
        <v>44</v>
      </c>
      <c r="M363" s="117" t="inlineStr">
        <is>
          <t>Beta Inc</t>
        </is>
      </c>
      <c r="N363" s="117" t="inlineStr">
        <is>
          <t>Enterprise (&gt;$200K)</t>
        </is>
      </c>
      <c r="O363" s="117" t="inlineStr">
        <is>
          <t>Cold Call</t>
        </is>
      </c>
      <c r="P363" s="119">
        <f>H363*0.08</f>
        <v/>
      </c>
      <c r="Q363" s="139" t="n">
        <v>0.09</v>
      </c>
      <c r="R363" s="117" t="inlineStr">
        <is>
          <t>Q2 deal - Cold Call channel</t>
        </is>
      </c>
    </row>
    <row r="364" ht="15" customHeight="1" s="77">
      <c r="A364" s="108" t="inlineStr">
        <is>
          <t>2025-08-17</t>
        </is>
      </c>
      <c r="B364" s="108" t="inlineStr">
        <is>
          <t>August</t>
        </is>
      </c>
      <c r="C364" s="108" t="inlineStr">
        <is>
          <t>Priya Sharma</t>
        </is>
      </c>
      <c r="D364" s="108" t="inlineStr">
        <is>
          <t>East</t>
        </is>
      </c>
      <c r="E364" s="108" t="inlineStr">
        <is>
          <t>Product C</t>
        </is>
      </c>
      <c r="F364" s="108" t="inlineStr">
        <is>
          <t>Mid-Market</t>
        </is>
      </c>
      <c r="G364" s="109" t="n">
        <v>18</v>
      </c>
      <c r="H364" s="110" t="n">
        <v>539982</v>
      </c>
      <c r="I364" s="110" t="n">
        <v>580031</v>
      </c>
      <c r="J364" s="110" t="n">
        <v>570148</v>
      </c>
      <c r="K364" s="108" t="inlineStr">
        <is>
          <t>In Progress</t>
        </is>
      </c>
      <c r="L364" s="138" t="n">
        <v>46</v>
      </c>
      <c r="M364" s="108" t="inlineStr">
        <is>
          <t>Gamma LLC</t>
        </is>
      </c>
      <c r="N364" s="108" t="inlineStr">
        <is>
          <t>Enterprise (&gt;$200K)</t>
        </is>
      </c>
      <c r="O364" s="108" t="inlineStr">
        <is>
          <t>LinkedIn</t>
        </is>
      </c>
      <c r="P364" s="110">
        <f>H364*0.08</f>
        <v/>
      </c>
      <c r="Q364" s="137" t="n">
        <v>0.05</v>
      </c>
      <c r="R364" s="108" t="inlineStr">
        <is>
          <t>Q3 deal - LinkedIn channel</t>
        </is>
      </c>
    </row>
    <row r="365" ht="15" customHeight="1" s="77">
      <c r="A365" s="117" t="inlineStr">
        <is>
          <t>2025-08-17</t>
        </is>
      </c>
      <c r="B365" s="117" t="inlineStr">
        <is>
          <t>August</t>
        </is>
      </c>
      <c r="C365" s="117" t="inlineStr">
        <is>
          <t>James Williams</t>
        </is>
      </c>
      <c r="D365" s="117" t="inlineStr">
        <is>
          <t>South</t>
        </is>
      </c>
      <c r="E365" s="117" t="inlineStr">
        <is>
          <t>Product D</t>
        </is>
      </c>
      <c r="F365" s="117" t="inlineStr">
        <is>
          <t>Startup</t>
        </is>
      </c>
      <c r="G365" s="118" t="n">
        <v>17</v>
      </c>
      <c r="H365" s="119" t="n">
        <v>169983</v>
      </c>
      <c r="I365" s="119" t="n">
        <v>178274</v>
      </c>
      <c r="J365" s="119" t="n">
        <v>152942</v>
      </c>
      <c r="K365" s="117" t="inlineStr">
        <is>
          <t>Won</t>
        </is>
      </c>
      <c r="L365" s="140" t="n">
        <v>106</v>
      </c>
      <c r="M365" s="117" t="inlineStr">
        <is>
          <t>Delta Ltd</t>
        </is>
      </c>
      <c r="N365" s="117" t="inlineStr">
        <is>
          <t>Large ($50K-$200K)</t>
        </is>
      </c>
      <c r="O365" s="117" t="inlineStr">
        <is>
          <t>Trade Show</t>
        </is>
      </c>
      <c r="P365" s="119">
        <f>H365*0.08</f>
        <v/>
      </c>
      <c r="Q365" s="139" t="n">
        <v>0.01</v>
      </c>
      <c r="R365" s="117" t="inlineStr">
        <is>
          <t>Q4 deal - Trade Show channel</t>
        </is>
      </c>
    </row>
    <row r="366" ht="15" customHeight="1" s="77">
      <c r="A366" s="108" t="inlineStr">
        <is>
          <t>2025-01-05</t>
        </is>
      </c>
      <c r="B366" s="108" t="inlineStr">
        <is>
          <t>January</t>
        </is>
      </c>
      <c r="C366" s="108" t="inlineStr">
        <is>
          <t>Emily Davis</t>
        </is>
      </c>
      <c r="D366" s="108" t="inlineStr">
        <is>
          <t>Central</t>
        </is>
      </c>
      <c r="E366" s="108" t="inlineStr">
        <is>
          <t>Product E</t>
        </is>
      </c>
      <c r="F366" s="108" t="inlineStr">
        <is>
          <t>Government</t>
        </is>
      </c>
      <c r="G366" s="109" t="n">
        <v>24</v>
      </c>
      <c r="H366" s="110" t="n">
        <v>239976</v>
      </c>
      <c r="I366" s="110" t="n">
        <v>234152</v>
      </c>
      <c r="J366" s="110" t="n">
        <v>260782</v>
      </c>
      <c r="K366" s="108" t="inlineStr">
        <is>
          <t>Won</t>
        </is>
      </c>
      <c r="L366" s="138" t="n">
        <v>24</v>
      </c>
      <c r="M366" s="108" t="inlineStr">
        <is>
          <t>Epsilon Co</t>
        </is>
      </c>
      <c r="N366" s="108" t="inlineStr">
        <is>
          <t>Enterprise (&gt;$200K)</t>
        </is>
      </c>
      <c r="O366" s="108" t="inlineStr">
        <is>
          <t>Website</t>
        </is>
      </c>
      <c r="P366" s="110">
        <f>H366*0.08</f>
        <v/>
      </c>
      <c r="Q366" s="137" t="n">
        <v>0.06</v>
      </c>
      <c r="R366" s="108" t="inlineStr">
        <is>
          <t>Q1 deal - Website channel</t>
        </is>
      </c>
    </row>
    <row r="367" ht="15" customHeight="1" s="77">
      <c r="A367" s="117" t="inlineStr">
        <is>
          <t>2025-05-09</t>
        </is>
      </c>
      <c r="B367" s="117" t="inlineStr">
        <is>
          <t>May</t>
        </is>
      </c>
      <c r="C367" s="117" t="inlineStr">
        <is>
          <t>Carlos Ruiz</t>
        </is>
      </c>
      <c r="D367" s="117" t="inlineStr">
        <is>
          <t>International</t>
        </is>
      </c>
      <c r="E367" s="117" t="inlineStr">
        <is>
          <t>Product F</t>
        </is>
      </c>
      <c r="F367" s="117" t="inlineStr">
        <is>
          <t>Enterprise</t>
        </is>
      </c>
      <c r="G367" s="118" t="n">
        <v>33</v>
      </c>
      <c r="H367" s="119" t="n">
        <v>494967</v>
      </c>
      <c r="I367" s="119" t="n">
        <v>447311</v>
      </c>
      <c r="J367" s="119" t="n">
        <v>436725</v>
      </c>
      <c r="K367" s="117" t="inlineStr">
        <is>
          <t>Won</t>
        </is>
      </c>
      <c r="L367" s="140" t="n">
        <v>19</v>
      </c>
      <c r="M367" s="117" t="inlineStr">
        <is>
          <t>Zeta Corp</t>
        </is>
      </c>
      <c r="N367" s="117" t="inlineStr">
        <is>
          <t>Enterprise (&gt;$200K)</t>
        </is>
      </c>
      <c r="O367" s="117" t="inlineStr">
        <is>
          <t>Partner</t>
        </is>
      </c>
      <c r="P367" s="119">
        <f>H367*0.08</f>
        <v/>
      </c>
      <c r="Q367" s="139" t="n">
        <v>0.05</v>
      </c>
      <c r="R367" s="117" t="inlineStr">
        <is>
          <t>Q2 deal - Partner channel</t>
        </is>
      </c>
    </row>
    <row r="368" ht="15" customHeight="1" s="77">
      <c r="A368" s="108" t="inlineStr">
        <is>
          <t>2025-02-21</t>
        </is>
      </c>
      <c r="B368" s="108" t="inlineStr">
        <is>
          <t>February</t>
        </is>
      </c>
      <c r="C368" s="108" t="inlineStr">
        <is>
          <t>Lisa Park</t>
        </is>
      </c>
      <c r="D368" s="108" t="inlineStr">
        <is>
          <t>North</t>
        </is>
      </c>
      <c r="E368" s="108" t="inlineStr">
        <is>
          <t>Product G</t>
        </is>
      </c>
      <c r="F368" s="108" t="inlineStr">
        <is>
          <t>SMB</t>
        </is>
      </c>
      <c r="G368" s="109" t="n">
        <v>20</v>
      </c>
      <c r="H368" s="110" t="n">
        <v>199980</v>
      </c>
      <c r="I368" s="110" t="n">
        <v>224329</v>
      </c>
      <c r="J368" s="110" t="n">
        <v>179478</v>
      </c>
      <c r="K368" s="108" t="inlineStr">
        <is>
          <t>Won</t>
        </is>
      </c>
      <c r="L368" s="138" t="n">
        <v>13</v>
      </c>
      <c r="M368" s="108" t="inlineStr">
        <is>
          <t>Eta Inc</t>
        </is>
      </c>
      <c r="N368" s="108" t="inlineStr">
        <is>
          <t>Large ($50K-$200K)</t>
        </is>
      </c>
      <c r="O368" s="108" t="inlineStr">
        <is>
          <t>Email Campaign</t>
        </is>
      </c>
      <c r="P368" s="110">
        <f>H368*0.08</f>
        <v/>
      </c>
      <c r="Q368" s="137" t="n">
        <v>0.06</v>
      </c>
      <c r="R368" s="108" t="inlineStr">
        <is>
          <t>Q3 deal - Email Campaign channel</t>
        </is>
      </c>
    </row>
    <row r="369" ht="15" customHeight="1" s="77">
      <c r="A369" s="117" t="inlineStr">
        <is>
          <t>2025-03-30</t>
        </is>
      </c>
      <c r="B369" s="117" t="inlineStr">
        <is>
          <t>March</t>
        </is>
      </c>
      <c r="C369" s="117" t="inlineStr">
        <is>
          <t>Tom Brown</t>
        </is>
      </c>
      <c r="D369" s="117" t="inlineStr">
        <is>
          <t>West</t>
        </is>
      </c>
      <c r="E369" s="117" t="inlineStr">
        <is>
          <t>Product H</t>
        </is>
      </c>
      <c r="F369" s="117" t="inlineStr">
        <is>
          <t>Mid-Market</t>
        </is>
      </c>
      <c r="G369" s="118" t="n">
        <v>7</v>
      </c>
      <c r="H369" s="119" t="n">
        <v>55993</v>
      </c>
      <c r="I369" s="119" t="n">
        <v>54587</v>
      </c>
      <c r="J369" s="119" t="n">
        <v>53058</v>
      </c>
      <c r="K369" s="117" t="inlineStr">
        <is>
          <t>Lost</t>
        </is>
      </c>
      <c r="L369" s="140" t="n">
        <v>76</v>
      </c>
      <c r="M369" s="117" t="inlineStr">
        <is>
          <t>Theta LLC</t>
        </is>
      </c>
      <c r="N369" s="117" t="inlineStr">
        <is>
          <t>Large ($50K-$200K)</t>
        </is>
      </c>
      <c r="O369" s="117" t="inlineStr">
        <is>
          <t>Webinar</t>
        </is>
      </c>
      <c r="P369" s="119">
        <f>H369*0.08</f>
        <v/>
      </c>
      <c r="Q369" s="139" t="n">
        <v>0.09</v>
      </c>
      <c r="R369" s="117" t="inlineStr">
        <is>
          <t>Q4 deal - Webinar channel</t>
        </is>
      </c>
    </row>
    <row r="370" ht="15" customHeight="1" s="77">
      <c r="A370" s="108" t="inlineStr">
        <is>
          <t>2025-04-21</t>
        </is>
      </c>
      <c r="B370" s="108" t="inlineStr">
        <is>
          <t>April</t>
        </is>
      </c>
      <c r="C370" s="108" t="inlineStr">
        <is>
          <t>Anna Schmidt</t>
        </is>
      </c>
      <c r="D370" s="108" t="inlineStr">
        <is>
          <t>East</t>
        </is>
      </c>
      <c r="E370" s="108" t="inlineStr">
        <is>
          <t>Product I</t>
        </is>
      </c>
      <c r="F370" s="108" t="inlineStr">
        <is>
          <t>Startup</t>
        </is>
      </c>
      <c r="G370" s="109" t="n">
        <v>16</v>
      </c>
      <c r="H370" s="110" t="n">
        <v>79984</v>
      </c>
      <c r="I370" s="110" t="n">
        <v>86826</v>
      </c>
      <c r="J370" s="110" t="n">
        <v>86108</v>
      </c>
      <c r="K370" s="108" t="inlineStr">
        <is>
          <t>In Progress</t>
        </is>
      </c>
      <c r="L370" s="138" t="n">
        <v>60</v>
      </c>
      <c r="M370" s="108" t="inlineStr">
        <is>
          <t>Iota Ltd</t>
        </is>
      </c>
      <c r="N370" s="108" t="inlineStr">
        <is>
          <t>Large ($50K-$200K)</t>
        </is>
      </c>
      <c r="O370" s="108" t="inlineStr">
        <is>
          <t>SEO</t>
        </is>
      </c>
      <c r="P370" s="110">
        <f>H370*0.08</f>
        <v/>
      </c>
      <c r="Q370" s="137" t="n">
        <v>0.13</v>
      </c>
      <c r="R370" s="108" t="inlineStr">
        <is>
          <t>Q1 deal - SEO channel</t>
        </is>
      </c>
    </row>
    <row r="371" ht="15" customHeight="1" s="77">
      <c r="A371" s="117" t="inlineStr">
        <is>
          <t>2025-10-24</t>
        </is>
      </c>
      <c r="B371" s="117" t="inlineStr">
        <is>
          <t>October</t>
        </is>
      </c>
      <c r="C371" s="117" t="inlineStr">
        <is>
          <t>David Kim</t>
        </is>
      </c>
      <c r="D371" s="117" t="inlineStr">
        <is>
          <t>South</t>
        </is>
      </c>
      <c r="E371" s="117" t="inlineStr">
        <is>
          <t>Product J</t>
        </is>
      </c>
      <c r="F371" s="117" t="inlineStr">
        <is>
          <t>Government</t>
        </is>
      </c>
      <c r="G371" s="118" t="n">
        <v>25</v>
      </c>
      <c r="H371" s="119" t="n">
        <v>124975</v>
      </c>
      <c r="I371" s="119" t="n">
        <v>116970</v>
      </c>
      <c r="J371" s="119" t="n">
        <v>117799</v>
      </c>
      <c r="K371" s="117" t="inlineStr">
        <is>
          <t>In Progress</t>
        </is>
      </c>
      <c r="L371" s="140" t="n">
        <v>86</v>
      </c>
      <c r="M371" s="117" t="inlineStr">
        <is>
          <t>Kappa Co</t>
        </is>
      </c>
      <c r="N371" s="117" t="inlineStr">
        <is>
          <t>Large ($50K-$200K)</t>
        </is>
      </c>
      <c r="O371" s="117" t="inlineStr">
        <is>
          <t>Direct</t>
        </is>
      </c>
      <c r="P371" s="119">
        <f>H371*0.08</f>
        <v/>
      </c>
      <c r="Q371" s="139" t="n">
        <v>0.01</v>
      </c>
      <c r="R371" s="117" t="inlineStr">
        <is>
          <t>Q2 deal - Direct channel</t>
        </is>
      </c>
    </row>
    <row r="372" ht="15" customHeight="1" s="77">
      <c r="A372" s="108" t="inlineStr">
        <is>
          <t>2025-11-11</t>
        </is>
      </c>
      <c r="B372" s="108" t="inlineStr">
        <is>
          <t>November</t>
        </is>
      </c>
      <c r="C372" s="108" t="inlineStr">
        <is>
          <t>Rachel Green</t>
        </is>
      </c>
      <c r="D372" s="108" t="inlineStr">
        <is>
          <t>Central</t>
        </is>
      </c>
      <c r="E372" s="108" t="inlineStr">
        <is>
          <t>Product A</t>
        </is>
      </c>
      <c r="F372" s="108" t="inlineStr">
        <is>
          <t>Enterprise</t>
        </is>
      </c>
      <c r="G372" s="109" t="n">
        <v>49</v>
      </c>
      <c r="H372" s="110" t="n">
        <v>1224951</v>
      </c>
      <c r="I372" s="110" t="n">
        <v>1272312</v>
      </c>
      <c r="J372" s="110" t="n">
        <v>1188961</v>
      </c>
      <c r="K372" s="108" t="inlineStr">
        <is>
          <t>Won</t>
        </is>
      </c>
      <c r="L372" s="138" t="n">
        <v>113</v>
      </c>
      <c r="M372" s="108" t="inlineStr">
        <is>
          <t>Lambda Corp</t>
        </is>
      </c>
      <c r="N372" s="108" t="inlineStr">
        <is>
          <t>Enterprise (&gt;$200K)</t>
        </is>
      </c>
      <c r="O372" s="108" t="inlineStr">
        <is>
          <t>Referral</t>
        </is>
      </c>
      <c r="P372" s="110">
        <f>H372*0.08</f>
        <v/>
      </c>
      <c r="Q372" s="137" t="n">
        <v>0.13</v>
      </c>
      <c r="R372" s="108" t="inlineStr">
        <is>
          <t>Q3 deal - Referral channel</t>
        </is>
      </c>
    </row>
    <row r="373" ht="15" customHeight="1" s="77">
      <c r="A373" s="117" t="inlineStr">
        <is>
          <t>2025-02-02</t>
        </is>
      </c>
      <c r="B373" s="117" t="inlineStr">
        <is>
          <t>February</t>
        </is>
      </c>
      <c r="C373" s="117" t="inlineStr">
        <is>
          <t>Mark Thompson</t>
        </is>
      </c>
      <c r="D373" s="117" t="inlineStr">
        <is>
          <t>International</t>
        </is>
      </c>
      <c r="E373" s="117" t="inlineStr">
        <is>
          <t>Product B</t>
        </is>
      </c>
      <c r="F373" s="117" t="inlineStr">
        <is>
          <t>SMB</t>
        </is>
      </c>
      <c r="G373" s="118" t="n">
        <v>49</v>
      </c>
      <c r="H373" s="119" t="n">
        <v>979951</v>
      </c>
      <c r="I373" s="119" t="n">
        <v>1010063</v>
      </c>
      <c r="J373" s="119" t="n">
        <v>920475</v>
      </c>
      <c r="K373" s="117" t="inlineStr">
        <is>
          <t>Won</t>
        </is>
      </c>
      <c r="L373" s="140" t="n">
        <v>28</v>
      </c>
      <c r="M373" s="117" t="inlineStr">
        <is>
          <t>Mu Inc</t>
        </is>
      </c>
      <c r="N373" s="117" t="inlineStr">
        <is>
          <t>Enterprise (&gt;$200K)</t>
        </is>
      </c>
      <c r="O373" s="117" t="inlineStr">
        <is>
          <t>Cold Call</t>
        </is>
      </c>
      <c r="P373" s="119">
        <f>H373*0.08</f>
        <v/>
      </c>
      <c r="Q373" s="139" t="n">
        <v>0.12</v>
      </c>
      <c r="R373" s="117" t="inlineStr">
        <is>
          <t>Q4 deal - Cold Call channel</t>
        </is>
      </c>
    </row>
    <row r="374" ht="15" customHeight="1" s="77">
      <c r="A374" s="108" t="inlineStr">
        <is>
          <t>2025-09-02</t>
        </is>
      </c>
      <c r="B374" s="108" t="inlineStr">
        <is>
          <t>September</t>
        </is>
      </c>
      <c r="C374" s="108" t="inlineStr">
        <is>
          <t>Susan Lee</t>
        </is>
      </c>
      <c r="D374" s="108" t="inlineStr">
        <is>
          <t>North</t>
        </is>
      </c>
      <c r="E374" s="108" t="inlineStr">
        <is>
          <t>Product C</t>
        </is>
      </c>
      <c r="F374" s="108" t="inlineStr">
        <is>
          <t>Mid-Market</t>
        </is>
      </c>
      <c r="G374" s="109" t="n">
        <v>17</v>
      </c>
      <c r="H374" s="110" t="n">
        <v>849983</v>
      </c>
      <c r="I374" s="110" t="n">
        <v>954915</v>
      </c>
      <c r="J374" s="110" t="n">
        <v>812605</v>
      </c>
      <c r="K374" s="108" t="inlineStr">
        <is>
          <t>Won</t>
        </is>
      </c>
      <c r="L374" s="138" t="n">
        <v>91</v>
      </c>
      <c r="M374" s="108" t="inlineStr">
        <is>
          <t>Nu LLC</t>
        </is>
      </c>
      <c r="N374" s="108" t="inlineStr">
        <is>
          <t>Enterprise (&gt;$200K)</t>
        </is>
      </c>
      <c r="O374" s="108" t="inlineStr">
        <is>
          <t>LinkedIn</t>
        </is>
      </c>
      <c r="P374" s="110">
        <f>H374*0.08</f>
        <v/>
      </c>
      <c r="Q374" s="137" t="n">
        <v>0.01</v>
      </c>
      <c r="R374" s="108" t="inlineStr">
        <is>
          <t>Q1 deal - LinkedIn channel</t>
        </is>
      </c>
    </row>
    <row r="375" ht="15" customHeight="1" s="77">
      <c r="A375" s="117" t="inlineStr">
        <is>
          <t>2025-04-15</t>
        </is>
      </c>
      <c r="B375" s="117" t="inlineStr">
        <is>
          <t>April</t>
        </is>
      </c>
      <c r="C375" s="117" t="inlineStr">
        <is>
          <t>Kevin Martin</t>
        </is>
      </c>
      <c r="D375" s="117" t="inlineStr">
        <is>
          <t>West</t>
        </is>
      </c>
      <c r="E375" s="117" t="inlineStr">
        <is>
          <t>Product D</t>
        </is>
      </c>
      <c r="F375" s="117" t="inlineStr">
        <is>
          <t>Startup</t>
        </is>
      </c>
      <c r="G375" s="118" t="n">
        <v>49</v>
      </c>
      <c r="H375" s="119" t="n">
        <v>244951</v>
      </c>
      <c r="I375" s="119" t="n">
        <v>250305</v>
      </c>
      <c r="J375" s="119" t="n">
        <v>243775</v>
      </c>
      <c r="K375" s="117" t="inlineStr">
        <is>
          <t>Won</t>
        </is>
      </c>
      <c r="L375" s="140" t="n">
        <v>24</v>
      </c>
      <c r="M375" s="117" t="inlineStr">
        <is>
          <t>Xi Ltd</t>
        </is>
      </c>
      <c r="N375" s="117" t="inlineStr">
        <is>
          <t>Enterprise (&gt;$200K)</t>
        </is>
      </c>
      <c r="O375" s="117" t="inlineStr">
        <is>
          <t>Trade Show</t>
        </is>
      </c>
      <c r="P375" s="119">
        <f>H375*0.08</f>
        <v/>
      </c>
      <c r="Q375" s="139" t="n">
        <v>0.11</v>
      </c>
      <c r="R375" s="117" t="inlineStr">
        <is>
          <t>Q2 deal - Trade Show channel</t>
        </is>
      </c>
    </row>
    <row r="376" ht="15" customHeight="1" s="77">
      <c r="A376" s="108" t="inlineStr">
        <is>
          <t>2025-09-08</t>
        </is>
      </c>
      <c r="B376" s="108" t="inlineStr">
        <is>
          <t>September</t>
        </is>
      </c>
      <c r="C376" s="108" t="inlineStr">
        <is>
          <t>Nina Patel</t>
        </is>
      </c>
      <c r="D376" s="108" t="inlineStr">
        <is>
          <t>East</t>
        </is>
      </c>
      <c r="E376" s="108" t="inlineStr">
        <is>
          <t>Product E</t>
        </is>
      </c>
      <c r="F376" s="108" t="inlineStr">
        <is>
          <t>Government</t>
        </is>
      </c>
      <c r="G376" s="109" t="n">
        <v>1</v>
      </c>
      <c r="H376" s="110" t="n">
        <v>7999</v>
      </c>
      <c r="I376" s="110" t="n">
        <v>7981</v>
      </c>
      <c r="J376" s="110" t="n">
        <v>7247</v>
      </c>
      <c r="K376" s="108" t="inlineStr">
        <is>
          <t>Lost</t>
        </is>
      </c>
      <c r="L376" s="138" t="n">
        <v>110</v>
      </c>
      <c r="M376" s="108" t="inlineStr">
        <is>
          <t>Pi Co</t>
        </is>
      </c>
      <c r="N376" s="108" t="inlineStr">
        <is>
          <t>Small (&lt;$10K)</t>
        </is>
      </c>
      <c r="O376" s="108" t="inlineStr">
        <is>
          <t>Website</t>
        </is>
      </c>
      <c r="P376" s="110">
        <f>H376*0.08</f>
        <v/>
      </c>
      <c r="Q376" s="137" t="n">
        <v>0.02</v>
      </c>
      <c r="R376" s="108" t="inlineStr">
        <is>
          <t>Q3 deal - Website channel</t>
        </is>
      </c>
    </row>
    <row r="377" ht="15" customHeight="1" s="77">
      <c r="A377" s="117" t="inlineStr">
        <is>
          <t>2025-03-10</t>
        </is>
      </c>
      <c r="B377" s="117" t="inlineStr">
        <is>
          <t>March</t>
        </is>
      </c>
      <c r="C377" s="117" t="inlineStr">
        <is>
          <t>Chris Wilson</t>
        </is>
      </c>
      <c r="D377" s="117" t="inlineStr">
        <is>
          <t>South</t>
        </is>
      </c>
      <c r="E377" s="117" t="inlineStr">
        <is>
          <t>Product F</t>
        </is>
      </c>
      <c r="F377" s="117" t="inlineStr">
        <is>
          <t>Enterprise</t>
        </is>
      </c>
      <c r="G377" s="118" t="n">
        <v>24</v>
      </c>
      <c r="H377" s="119" t="n">
        <v>599976</v>
      </c>
      <c r="I377" s="119" t="n">
        <v>594207</v>
      </c>
      <c r="J377" s="119" t="n">
        <v>613984</v>
      </c>
      <c r="K377" s="117" t="inlineStr">
        <is>
          <t>In Progress</t>
        </is>
      </c>
      <c r="L377" s="140" t="n">
        <v>54</v>
      </c>
      <c r="M377" s="117" t="inlineStr">
        <is>
          <t>Rho Corp</t>
        </is>
      </c>
      <c r="N377" s="117" t="inlineStr">
        <is>
          <t>Enterprise (&gt;$200K)</t>
        </is>
      </c>
      <c r="O377" s="117" t="inlineStr">
        <is>
          <t>Partner</t>
        </is>
      </c>
      <c r="P377" s="119">
        <f>H377*0.08</f>
        <v/>
      </c>
      <c r="Q377" s="139" t="n">
        <v>0.01</v>
      </c>
      <c r="R377" s="117" t="inlineStr">
        <is>
          <t>Q4 deal - Partner channel</t>
        </is>
      </c>
    </row>
    <row r="378" ht="15" customHeight="1" s="77">
      <c r="A378" s="108" t="inlineStr">
        <is>
          <t>2025-10-13</t>
        </is>
      </c>
      <c r="B378" s="108" t="inlineStr">
        <is>
          <t>October</t>
        </is>
      </c>
      <c r="C378" s="108" t="inlineStr">
        <is>
          <t>Amanda Foster</t>
        </is>
      </c>
      <c r="D378" s="108" t="inlineStr">
        <is>
          <t>Central</t>
        </is>
      </c>
      <c r="E378" s="108" t="inlineStr">
        <is>
          <t>Product G</t>
        </is>
      </c>
      <c r="F378" s="108" t="inlineStr">
        <is>
          <t>SMB</t>
        </is>
      </c>
      <c r="G378" s="109" t="n">
        <v>33</v>
      </c>
      <c r="H378" s="110" t="n">
        <v>824967</v>
      </c>
      <c r="I378" s="110" t="n">
        <v>876632</v>
      </c>
      <c r="J378" s="110" t="n">
        <v>719415</v>
      </c>
      <c r="K378" s="108" t="inlineStr">
        <is>
          <t>In Progress</t>
        </is>
      </c>
      <c r="L378" s="138" t="n">
        <v>33</v>
      </c>
      <c r="M378" s="108" t="inlineStr">
        <is>
          <t>Sigma Inc</t>
        </is>
      </c>
      <c r="N378" s="108" t="inlineStr">
        <is>
          <t>Enterprise (&gt;$200K)</t>
        </is>
      </c>
      <c r="O378" s="108" t="inlineStr">
        <is>
          <t>Email Campaign</t>
        </is>
      </c>
      <c r="P378" s="110">
        <f>H378*0.08</f>
        <v/>
      </c>
      <c r="Q378" s="137" t="n">
        <v>0.11</v>
      </c>
      <c r="R378" s="108" t="inlineStr">
        <is>
          <t>Q1 deal - Email Campaign channel</t>
        </is>
      </c>
    </row>
    <row r="379" ht="15" customHeight="1" s="77">
      <c r="A379" s="117" t="inlineStr">
        <is>
          <t>2025-04-24</t>
        </is>
      </c>
      <c r="B379" s="117" t="inlineStr">
        <is>
          <t>April</t>
        </is>
      </c>
      <c r="C379" s="117" t="inlineStr">
        <is>
          <t>Robert Taylor</t>
        </is>
      </c>
      <c r="D379" s="117" t="inlineStr">
        <is>
          <t>International</t>
        </is>
      </c>
      <c r="E379" s="117" t="inlineStr">
        <is>
          <t>Product H</t>
        </is>
      </c>
      <c r="F379" s="117" t="inlineStr">
        <is>
          <t>Mid-Market</t>
        </is>
      </c>
      <c r="G379" s="118" t="n">
        <v>16</v>
      </c>
      <c r="H379" s="119" t="n">
        <v>319984</v>
      </c>
      <c r="I379" s="119" t="n">
        <v>311851</v>
      </c>
      <c r="J379" s="119" t="n">
        <v>321658</v>
      </c>
      <c r="K379" s="117" t="inlineStr">
        <is>
          <t>Won</t>
        </is>
      </c>
      <c r="L379" s="140" t="n">
        <v>89</v>
      </c>
      <c r="M379" s="117" t="inlineStr">
        <is>
          <t>Tau LLC</t>
        </is>
      </c>
      <c r="N379" s="117" t="inlineStr">
        <is>
          <t>Enterprise (&gt;$200K)</t>
        </is>
      </c>
      <c r="O379" s="117" t="inlineStr">
        <is>
          <t>Webinar</t>
        </is>
      </c>
      <c r="P379" s="119">
        <f>H379*0.08</f>
        <v/>
      </c>
      <c r="Q379" s="139" t="n">
        <v>0.13</v>
      </c>
      <c r="R379" s="117" t="inlineStr">
        <is>
          <t>Q2 deal - Webinar channel</t>
        </is>
      </c>
    </row>
    <row r="380" ht="15" customHeight="1" s="77">
      <c r="A380" s="108" t="inlineStr">
        <is>
          <t>2025-04-08</t>
        </is>
      </c>
      <c r="B380" s="108" t="inlineStr">
        <is>
          <t>April</t>
        </is>
      </c>
      <c r="C380" s="108" t="inlineStr">
        <is>
          <t>Jennifer Moore</t>
        </is>
      </c>
      <c r="D380" s="108" t="inlineStr">
        <is>
          <t>North</t>
        </is>
      </c>
      <c r="E380" s="108" t="inlineStr">
        <is>
          <t>Product I</t>
        </is>
      </c>
      <c r="F380" s="108" t="inlineStr">
        <is>
          <t>Startup</t>
        </is>
      </c>
      <c r="G380" s="109" t="n">
        <v>31</v>
      </c>
      <c r="H380" s="110" t="n">
        <v>774969</v>
      </c>
      <c r="I380" s="110" t="n">
        <v>784265</v>
      </c>
      <c r="J380" s="110" t="n">
        <v>749699</v>
      </c>
      <c r="K380" s="108" t="inlineStr">
        <is>
          <t>Won</t>
        </is>
      </c>
      <c r="L380" s="138" t="n">
        <v>74</v>
      </c>
      <c r="M380" s="108" t="inlineStr">
        <is>
          <t>Upsilon Ltd</t>
        </is>
      </c>
      <c r="N380" s="108" t="inlineStr">
        <is>
          <t>Enterprise (&gt;$200K)</t>
        </is>
      </c>
      <c r="O380" s="108" t="inlineStr">
        <is>
          <t>SEO</t>
        </is>
      </c>
      <c r="P380" s="110">
        <f>H380*0.08</f>
        <v/>
      </c>
      <c r="Q380" s="137" t="n">
        <v>0.08</v>
      </c>
      <c r="R380" s="108" t="inlineStr">
        <is>
          <t>Q3 deal - SEO channel</t>
        </is>
      </c>
    </row>
    <row r="381" ht="15" customHeight="1" s="77">
      <c r="A381" s="117" t="inlineStr">
        <is>
          <t>2025-06-06</t>
        </is>
      </c>
      <c r="B381" s="117" t="inlineStr">
        <is>
          <t>June</t>
        </is>
      </c>
      <c r="C381" s="117" t="inlineStr">
        <is>
          <t>Daniel Jackson</t>
        </is>
      </c>
      <c r="D381" s="117" t="inlineStr">
        <is>
          <t>West</t>
        </is>
      </c>
      <c r="E381" s="117" t="inlineStr">
        <is>
          <t>Product J</t>
        </is>
      </c>
      <c r="F381" s="117" t="inlineStr">
        <is>
          <t>Government</t>
        </is>
      </c>
      <c r="G381" s="118" t="n">
        <v>46</v>
      </c>
      <c r="H381" s="119" t="n">
        <v>1149954</v>
      </c>
      <c r="I381" s="119" t="n">
        <v>1180353</v>
      </c>
      <c r="J381" s="119" t="n">
        <v>1012910</v>
      </c>
      <c r="K381" s="117" t="inlineStr">
        <is>
          <t>Won</t>
        </is>
      </c>
      <c r="L381" s="140" t="n">
        <v>109</v>
      </c>
      <c r="M381" s="117" t="inlineStr">
        <is>
          <t>Phi Co</t>
        </is>
      </c>
      <c r="N381" s="117" t="inlineStr">
        <is>
          <t>Enterprise (&gt;$200K)</t>
        </is>
      </c>
      <c r="O381" s="117" t="inlineStr">
        <is>
          <t>Direct</t>
        </is>
      </c>
      <c r="P381" s="119">
        <f>H381*0.08</f>
        <v/>
      </c>
      <c r="Q381" s="139" t="n">
        <v>0.01</v>
      </c>
      <c r="R381" s="117" t="inlineStr">
        <is>
          <t>Q4 deal - Direct channel</t>
        </is>
      </c>
    </row>
    <row r="382" ht="15" customHeight="1" s="77">
      <c r="A382" s="108" t="inlineStr">
        <is>
          <t>2025-06-05</t>
        </is>
      </c>
      <c r="B382" s="108" t="inlineStr">
        <is>
          <t>June</t>
        </is>
      </c>
      <c r="C382" s="108" t="inlineStr">
        <is>
          <t>Sarah Johnson</t>
        </is>
      </c>
      <c r="D382" s="108" t="inlineStr">
        <is>
          <t>North</t>
        </is>
      </c>
      <c r="E382" s="108" t="inlineStr">
        <is>
          <t>Product A</t>
        </is>
      </c>
      <c r="F382" s="108" t="inlineStr">
        <is>
          <t>Enterprise</t>
        </is>
      </c>
      <c r="G382" s="109" t="n">
        <v>20</v>
      </c>
      <c r="H382" s="110" t="n">
        <v>199980</v>
      </c>
      <c r="I382" s="110" t="n">
        <v>206042</v>
      </c>
      <c r="J382" s="110" t="n">
        <v>184077</v>
      </c>
      <c r="K382" s="108" t="inlineStr">
        <is>
          <t>Won</t>
        </is>
      </c>
      <c r="L382" s="138" t="n">
        <v>24</v>
      </c>
      <c r="M382" s="108" t="inlineStr">
        <is>
          <t>Acme Corp</t>
        </is>
      </c>
      <c r="N382" s="108" t="inlineStr">
        <is>
          <t>Large ($50K-$200K)</t>
        </is>
      </c>
      <c r="O382" s="108" t="inlineStr">
        <is>
          <t>Referral</t>
        </is>
      </c>
      <c r="P382" s="110">
        <f>H382*0.08</f>
        <v/>
      </c>
      <c r="Q382" s="137" t="n">
        <v>0.09</v>
      </c>
      <c r="R382" s="108" t="inlineStr">
        <is>
          <t>Q1 deal - Referral channel</t>
        </is>
      </c>
    </row>
    <row r="383" ht="15" customHeight="1" s="77">
      <c r="A383" s="117" t="inlineStr">
        <is>
          <t>2025-05-19</t>
        </is>
      </c>
      <c r="B383" s="117" t="inlineStr">
        <is>
          <t>May</t>
        </is>
      </c>
      <c r="C383" s="117" t="inlineStr">
        <is>
          <t>Mike Chen</t>
        </is>
      </c>
      <c r="D383" s="117" t="inlineStr">
        <is>
          <t>West</t>
        </is>
      </c>
      <c r="E383" s="117" t="inlineStr">
        <is>
          <t>Product B</t>
        </is>
      </c>
      <c r="F383" s="117" t="inlineStr">
        <is>
          <t>SMB</t>
        </is>
      </c>
      <c r="G383" s="118" t="n">
        <v>49</v>
      </c>
      <c r="H383" s="119" t="n">
        <v>1469951</v>
      </c>
      <c r="I383" s="119" t="n">
        <v>1731975</v>
      </c>
      <c r="J383" s="119" t="n">
        <v>1319385</v>
      </c>
      <c r="K383" s="117" t="inlineStr">
        <is>
          <t>Lost</t>
        </is>
      </c>
      <c r="L383" s="140" t="n">
        <v>81</v>
      </c>
      <c r="M383" s="117" t="inlineStr">
        <is>
          <t>Beta Inc</t>
        </is>
      </c>
      <c r="N383" s="117" t="inlineStr">
        <is>
          <t>Enterprise (&gt;$200K)</t>
        </is>
      </c>
      <c r="O383" s="117" t="inlineStr">
        <is>
          <t>Cold Call</t>
        </is>
      </c>
      <c r="P383" s="119">
        <f>H383*0.08</f>
        <v/>
      </c>
      <c r="Q383" s="139" t="n">
        <v>0.09</v>
      </c>
      <c r="R383" s="117" t="inlineStr">
        <is>
          <t>Q2 deal - Cold Call channel</t>
        </is>
      </c>
    </row>
    <row r="384" ht="15" customHeight="1" s="77">
      <c r="A384" s="108" t="inlineStr">
        <is>
          <t>2025-02-27</t>
        </is>
      </c>
      <c r="B384" s="108" t="inlineStr">
        <is>
          <t>February</t>
        </is>
      </c>
      <c r="C384" s="108" t="inlineStr">
        <is>
          <t>Priya Sharma</t>
        </is>
      </c>
      <c r="D384" s="108" t="inlineStr">
        <is>
          <t>East</t>
        </is>
      </c>
      <c r="E384" s="108" t="inlineStr">
        <is>
          <t>Product C</t>
        </is>
      </c>
      <c r="F384" s="108" t="inlineStr">
        <is>
          <t>Mid-Market</t>
        </is>
      </c>
      <c r="G384" s="109" t="n">
        <v>9</v>
      </c>
      <c r="H384" s="110" t="n">
        <v>71991</v>
      </c>
      <c r="I384" s="110" t="n">
        <v>65867</v>
      </c>
      <c r="J384" s="110" t="n">
        <v>74065</v>
      </c>
      <c r="K384" s="108" t="inlineStr">
        <is>
          <t>In Progress</t>
        </is>
      </c>
      <c r="L384" s="138" t="n">
        <v>71</v>
      </c>
      <c r="M384" s="108" t="inlineStr">
        <is>
          <t>Gamma LLC</t>
        </is>
      </c>
      <c r="N384" s="108" t="inlineStr">
        <is>
          <t>Large ($50K-$200K)</t>
        </is>
      </c>
      <c r="O384" s="108" t="inlineStr">
        <is>
          <t>LinkedIn</t>
        </is>
      </c>
      <c r="P384" s="110">
        <f>H384*0.08</f>
        <v/>
      </c>
      <c r="Q384" s="137" t="n">
        <v>0.11</v>
      </c>
      <c r="R384" s="108" t="inlineStr">
        <is>
          <t>Q3 deal - LinkedIn channel</t>
        </is>
      </c>
    </row>
    <row r="385" ht="15" customHeight="1" s="77">
      <c r="A385" s="117" t="inlineStr">
        <is>
          <t>2025-04-23</t>
        </is>
      </c>
      <c r="B385" s="117" t="inlineStr">
        <is>
          <t>April</t>
        </is>
      </c>
      <c r="C385" s="117" t="inlineStr">
        <is>
          <t>James Williams</t>
        </is>
      </c>
      <c r="D385" s="117" t="inlineStr">
        <is>
          <t>South</t>
        </is>
      </c>
      <c r="E385" s="117" t="inlineStr">
        <is>
          <t>Product D</t>
        </is>
      </c>
      <c r="F385" s="117" t="inlineStr">
        <is>
          <t>Startup</t>
        </is>
      </c>
      <c r="G385" s="118" t="n">
        <v>26</v>
      </c>
      <c r="H385" s="119" t="n">
        <v>649974</v>
      </c>
      <c r="I385" s="119" t="n">
        <v>679244</v>
      </c>
      <c r="J385" s="119" t="n">
        <v>569255</v>
      </c>
      <c r="K385" s="117" t="inlineStr">
        <is>
          <t>In Progress</t>
        </is>
      </c>
      <c r="L385" s="140" t="n">
        <v>36</v>
      </c>
      <c r="M385" s="117" t="inlineStr">
        <is>
          <t>Delta Ltd</t>
        </is>
      </c>
      <c r="N385" s="117" t="inlineStr">
        <is>
          <t>Enterprise (&gt;$200K)</t>
        </is>
      </c>
      <c r="O385" s="117" t="inlineStr">
        <is>
          <t>Trade Show</t>
        </is>
      </c>
      <c r="P385" s="119">
        <f>H385*0.08</f>
        <v/>
      </c>
      <c r="Q385" s="139" t="n">
        <v>0.11</v>
      </c>
      <c r="R385" s="117" t="inlineStr">
        <is>
          <t>Q4 deal - Trade Show channel</t>
        </is>
      </c>
    </row>
    <row r="386" ht="15" customHeight="1" s="77">
      <c r="A386" s="108" t="inlineStr">
        <is>
          <t>2025-07-10</t>
        </is>
      </c>
      <c r="B386" s="108" t="inlineStr">
        <is>
          <t>July</t>
        </is>
      </c>
      <c r="C386" s="108" t="inlineStr">
        <is>
          <t>Emily Davis</t>
        </is>
      </c>
      <c r="D386" s="108" t="inlineStr">
        <is>
          <t>Central</t>
        </is>
      </c>
      <c r="E386" s="108" t="inlineStr">
        <is>
          <t>Product E</t>
        </is>
      </c>
      <c r="F386" s="108" t="inlineStr">
        <is>
          <t>Government</t>
        </is>
      </c>
      <c r="G386" s="109" t="n">
        <v>27</v>
      </c>
      <c r="H386" s="110" t="n">
        <v>404973</v>
      </c>
      <c r="I386" s="110" t="n">
        <v>366068</v>
      </c>
      <c r="J386" s="110" t="n">
        <v>352997</v>
      </c>
      <c r="K386" s="108" t="inlineStr">
        <is>
          <t>Won</t>
        </is>
      </c>
      <c r="L386" s="138" t="n">
        <v>44</v>
      </c>
      <c r="M386" s="108" t="inlineStr">
        <is>
          <t>Epsilon Co</t>
        </is>
      </c>
      <c r="N386" s="108" t="inlineStr">
        <is>
          <t>Enterprise (&gt;$200K)</t>
        </is>
      </c>
      <c r="O386" s="108" t="inlineStr">
        <is>
          <t>Website</t>
        </is>
      </c>
      <c r="P386" s="110">
        <f>H386*0.08</f>
        <v/>
      </c>
      <c r="Q386" s="137" t="n">
        <v>0.13</v>
      </c>
      <c r="R386" s="108" t="inlineStr">
        <is>
          <t>Q1 deal - Website channel</t>
        </is>
      </c>
    </row>
    <row r="387" ht="15" customHeight="1" s="77">
      <c r="A387" s="117" t="inlineStr">
        <is>
          <t>2025-12-07</t>
        </is>
      </c>
      <c r="B387" s="117" t="inlineStr">
        <is>
          <t>December</t>
        </is>
      </c>
      <c r="C387" s="117" t="inlineStr">
        <is>
          <t>Carlos Ruiz</t>
        </is>
      </c>
      <c r="D387" s="117" t="inlineStr">
        <is>
          <t>International</t>
        </is>
      </c>
      <c r="E387" s="117" t="inlineStr">
        <is>
          <t>Product F</t>
        </is>
      </c>
      <c r="F387" s="117" t="inlineStr">
        <is>
          <t>Enterprise</t>
        </is>
      </c>
      <c r="G387" s="118" t="n">
        <v>29</v>
      </c>
      <c r="H387" s="119" t="n">
        <v>434971</v>
      </c>
      <c r="I387" s="119" t="n">
        <v>509586</v>
      </c>
      <c r="J387" s="119" t="n">
        <v>464988</v>
      </c>
      <c r="K387" s="117" t="inlineStr">
        <is>
          <t>Won</t>
        </is>
      </c>
      <c r="L387" s="140" t="n">
        <v>63</v>
      </c>
      <c r="M387" s="117" t="inlineStr">
        <is>
          <t>Zeta Corp</t>
        </is>
      </c>
      <c r="N387" s="117" t="inlineStr">
        <is>
          <t>Enterprise (&gt;$200K)</t>
        </is>
      </c>
      <c r="O387" s="117" t="inlineStr">
        <is>
          <t>Partner</t>
        </is>
      </c>
      <c r="P387" s="119">
        <f>H387*0.08</f>
        <v/>
      </c>
      <c r="Q387" s="139" t="n">
        <v>0.13</v>
      </c>
      <c r="R387" s="117" t="inlineStr">
        <is>
          <t>Q2 deal - Partner channel</t>
        </is>
      </c>
    </row>
    <row r="388" ht="15" customHeight="1" s="77">
      <c r="A388" s="108" t="inlineStr">
        <is>
          <t>2025-03-11</t>
        </is>
      </c>
      <c r="B388" s="108" t="inlineStr">
        <is>
          <t>March</t>
        </is>
      </c>
      <c r="C388" s="108" t="inlineStr">
        <is>
          <t>Lisa Park</t>
        </is>
      </c>
      <c r="D388" s="108" t="inlineStr">
        <is>
          <t>North</t>
        </is>
      </c>
      <c r="E388" s="108" t="inlineStr">
        <is>
          <t>Product G</t>
        </is>
      </c>
      <c r="F388" s="108" t="inlineStr">
        <is>
          <t>SMB</t>
        </is>
      </c>
      <c r="G388" s="109" t="n">
        <v>45</v>
      </c>
      <c r="H388" s="110" t="n">
        <v>674955</v>
      </c>
      <c r="I388" s="110" t="n">
        <v>640955</v>
      </c>
      <c r="J388" s="110" t="n">
        <v>585918</v>
      </c>
      <c r="K388" s="108" t="inlineStr">
        <is>
          <t>Won</t>
        </is>
      </c>
      <c r="L388" s="138" t="n">
        <v>8</v>
      </c>
      <c r="M388" s="108" t="inlineStr">
        <is>
          <t>Eta Inc</t>
        </is>
      </c>
      <c r="N388" s="108" t="inlineStr">
        <is>
          <t>Enterprise (&gt;$200K)</t>
        </is>
      </c>
      <c r="O388" s="108" t="inlineStr">
        <is>
          <t>Email Campaign</t>
        </is>
      </c>
      <c r="P388" s="110">
        <f>H388*0.08</f>
        <v/>
      </c>
      <c r="Q388" s="137" t="n">
        <v>0.05</v>
      </c>
      <c r="R388" s="108" t="inlineStr">
        <is>
          <t>Q3 deal - Email Campaign channel</t>
        </is>
      </c>
    </row>
    <row r="389" ht="15" customHeight="1" s="77">
      <c r="A389" s="117" t="inlineStr">
        <is>
          <t>2025-03-21</t>
        </is>
      </c>
      <c r="B389" s="117" t="inlineStr">
        <is>
          <t>March</t>
        </is>
      </c>
      <c r="C389" s="117" t="inlineStr">
        <is>
          <t>Tom Brown</t>
        </is>
      </c>
      <c r="D389" s="117" t="inlineStr">
        <is>
          <t>West</t>
        </is>
      </c>
      <c r="E389" s="117" t="inlineStr">
        <is>
          <t>Product H</t>
        </is>
      </c>
      <c r="F389" s="117" t="inlineStr">
        <is>
          <t>Mid-Market</t>
        </is>
      </c>
      <c r="G389" s="118" t="n">
        <v>1</v>
      </c>
      <c r="H389" s="119" t="n">
        <v>7999</v>
      </c>
      <c r="I389" s="119" t="n">
        <v>8921</v>
      </c>
      <c r="J389" s="119" t="n">
        <v>7940</v>
      </c>
      <c r="K389" s="117" t="inlineStr">
        <is>
          <t>Won</t>
        </is>
      </c>
      <c r="L389" s="140" t="n">
        <v>97</v>
      </c>
      <c r="M389" s="117" t="inlineStr">
        <is>
          <t>Theta LLC</t>
        </is>
      </c>
      <c r="N389" s="117" t="inlineStr">
        <is>
          <t>Small (&lt;$10K)</t>
        </is>
      </c>
      <c r="O389" s="117" t="inlineStr">
        <is>
          <t>Webinar</t>
        </is>
      </c>
      <c r="P389" s="119">
        <f>H389*0.08</f>
        <v/>
      </c>
      <c r="Q389" s="139" t="n">
        <v>0.02</v>
      </c>
      <c r="R389" s="117" t="inlineStr">
        <is>
          <t>Q4 deal - Webinar channel</t>
        </is>
      </c>
    </row>
    <row r="390" ht="15" customHeight="1" s="77">
      <c r="A390" s="108" t="inlineStr">
        <is>
          <t>2025-07-11</t>
        </is>
      </c>
      <c r="B390" s="108" t="inlineStr">
        <is>
          <t>July</t>
        </is>
      </c>
      <c r="C390" s="108" t="inlineStr">
        <is>
          <t>Anna Schmidt</t>
        </is>
      </c>
      <c r="D390" s="108" t="inlineStr">
        <is>
          <t>East</t>
        </is>
      </c>
      <c r="E390" s="108" t="inlineStr">
        <is>
          <t>Product I</t>
        </is>
      </c>
      <c r="F390" s="108" t="inlineStr">
        <is>
          <t>Startup</t>
        </is>
      </c>
      <c r="G390" s="109" t="n">
        <v>10</v>
      </c>
      <c r="H390" s="110" t="n">
        <v>199990</v>
      </c>
      <c r="I390" s="110" t="n">
        <v>191834</v>
      </c>
      <c r="J390" s="110" t="n">
        <v>219214</v>
      </c>
      <c r="K390" s="108" t="inlineStr">
        <is>
          <t>Lost</t>
        </is>
      </c>
      <c r="L390" s="138" t="n">
        <v>11</v>
      </c>
      <c r="M390" s="108" t="inlineStr">
        <is>
          <t>Iota Ltd</t>
        </is>
      </c>
      <c r="N390" s="108" t="inlineStr">
        <is>
          <t>Large ($50K-$200K)</t>
        </is>
      </c>
      <c r="O390" s="108" t="inlineStr">
        <is>
          <t>SEO</t>
        </is>
      </c>
      <c r="P390" s="110">
        <f>H390*0.08</f>
        <v/>
      </c>
      <c r="Q390" s="137" t="n">
        <v>0.11</v>
      </c>
      <c r="R390" s="108" t="inlineStr">
        <is>
          <t>Q1 deal - SEO channel</t>
        </is>
      </c>
    </row>
    <row r="391" ht="15" customHeight="1" s="77">
      <c r="A391" s="117" t="inlineStr">
        <is>
          <t>2025-11-05</t>
        </is>
      </c>
      <c r="B391" s="117" t="inlineStr">
        <is>
          <t>November</t>
        </is>
      </c>
      <c r="C391" s="117" t="inlineStr">
        <is>
          <t>David Kim</t>
        </is>
      </c>
      <c r="D391" s="117" t="inlineStr">
        <is>
          <t>South</t>
        </is>
      </c>
      <c r="E391" s="117" t="inlineStr">
        <is>
          <t>Product J</t>
        </is>
      </c>
      <c r="F391" s="117" t="inlineStr">
        <is>
          <t>Government</t>
        </is>
      </c>
      <c r="G391" s="118" t="n">
        <v>16</v>
      </c>
      <c r="H391" s="119" t="n">
        <v>399984</v>
      </c>
      <c r="I391" s="119" t="n">
        <v>437798</v>
      </c>
      <c r="J391" s="119" t="n">
        <v>373290</v>
      </c>
      <c r="K391" s="117" t="inlineStr">
        <is>
          <t>In Progress</t>
        </is>
      </c>
      <c r="L391" s="140" t="n">
        <v>117</v>
      </c>
      <c r="M391" s="117" t="inlineStr">
        <is>
          <t>Kappa Co</t>
        </is>
      </c>
      <c r="N391" s="117" t="inlineStr">
        <is>
          <t>Enterprise (&gt;$200K)</t>
        </is>
      </c>
      <c r="O391" s="117" t="inlineStr">
        <is>
          <t>Direct</t>
        </is>
      </c>
      <c r="P391" s="119">
        <f>H391*0.08</f>
        <v/>
      </c>
      <c r="Q391" s="139" t="n">
        <v>0</v>
      </c>
      <c r="R391" s="117" t="inlineStr">
        <is>
          <t>Q2 deal - Direct channel</t>
        </is>
      </c>
    </row>
    <row r="392" ht="15" customHeight="1" s="77">
      <c r="A392" s="108" t="inlineStr">
        <is>
          <t>2025-04-01</t>
        </is>
      </c>
      <c r="B392" s="108" t="inlineStr">
        <is>
          <t>April</t>
        </is>
      </c>
      <c r="C392" s="108" t="inlineStr">
        <is>
          <t>Rachel Green</t>
        </is>
      </c>
      <c r="D392" s="108" t="inlineStr">
        <is>
          <t>Central</t>
        </is>
      </c>
      <c r="E392" s="108" t="inlineStr">
        <is>
          <t>Product A</t>
        </is>
      </c>
      <c r="F392" s="108" t="inlineStr">
        <is>
          <t>Enterprise</t>
        </is>
      </c>
      <c r="G392" s="109" t="n">
        <v>41</v>
      </c>
      <c r="H392" s="110" t="n">
        <v>614959</v>
      </c>
      <c r="I392" s="110" t="n">
        <v>651452</v>
      </c>
      <c r="J392" s="110" t="n">
        <v>656248</v>
      </c>
      <c r="K392" s="108" t="inlineStr">
        <is>
          <t>In Progress</t>
        </is>
      </c>
      <c r="L392" s="138" t="n">
        <v>89</v>
      </c>
      <c r="M392" s="108" t="inlineStr">
        <is>
          <t>Lambda Corp</t>
        </is>
      </c>
      <c r="N392" s="108" t="inlineStr">
        <is>
          <t>Enterprise (&gt;$200K)</t>
        </is>
      </c>
      <c r="O392" s="108" t="inlineStr">
        <is>
          <t>Referral</t>
        </is>
      </c>
      <c r="P392" s="110">
        <f>H392*0.08</f>
        <v/>
      </c>
      <c r="Q392" s="137" t="n">
        <v>0.04</v>
      </c>
      <c r="R392" s="108" t="inlineStr">
        <is>
          <t>Q3 deal - Referral channel</t>
        </is>
      </c>
    </row>
    <row r="393" ht="15" customHeight="1" s="77">
      <c r="A393" s="117" t="inlineStr">
        <is>
          <t>2025-04-26</t>
        </is>
      </c>
      <c r="B393" s="117" t="inlineStr">
        <is>
          <t>April</t>
        </is>
      </c>
      <c r="C393" s="117" t="inlineStr">
        <is>
          <t>Mark Thompson</t>
        </is>
      </c>
      <c r="D393" s="117" t="inlineStr">
        <is>
          <t>International</t>
        </is>
      </c>
      <c r="E393" s="117" t="inlineStr">
        <is>
          <t>Product B</t>
        </is>
      </c>
      <c r="F393" s="117" t="inlineStr">
        <is>
          <t>SMB</t>
        </is>
      </c>
      <c r="G393" s="118" t="n">
        <v>40</v>
      </c>
      <c r="H393" s="119" t="n">
        <v>319960</v>
      </c>
      <c r="I393" s="119" t="n">
        <v>302954</v>
      </c>
      <c r="J393" s="119" t="n">
        <v>340660</v>
      </c>
      <c r="K393" s="117" t="inlineStr">
        <is>
          <t>Won</t>
        </is>
      </c>
      <c r="L393" s="140" t="n">
        <v>83</v>
      </c>
      <c r="M393" s="117" t="inlineStr">
        <is>
          <t>Mu Inc</t>
        </is>
      </c>
      <c r="N393" s="117" t="inlineStr">
        <is>
          <t>Enterprise (&gt;$200K)</t>
        </is>
      </c>
      <c r="O393" s="117" t="inlineStr">
        <is>
          <t>Cold Call</t>
        </is>
      </c>
      <c r="P393" s="119">
        <f>H393*0.08</f>
        <v/>
      </c>
      <c r="Q393" s="139" t="n">
        <v>0.06</v>
      </c>
      <c r="R393" s="117" t="inlineStr">
        <is>
          <t>Q4 deal - Cold Call channel</t>
        </is>
      </c>
    </row>
    <row r="394" ht="15" customHeight="1" s="77">
      <c r="A394" s="108" t="inlineStr">
        <is>
          <t>2025-12-26</t>
        </is>
      </c>
      <c r="B394" s="108" t="inlineStr">
        <is>
          <t>December</t>
        </is>
      </c>
      <c r="C394" s="108" t="inlineStr">
        <is>
          <t>Susan Lee</t>
        </is>
      </c>
      <c r="D394" s="108" t="inlineStr">
        <is>
          <t>North</t>
        </is>
      </c>
      <c r="E394" s="108" t="inlineStr">
        <is>
          <t>Product C</t>
        </is>
      </c>
      <c r="F394" s="108" t="inlineStr">
        <is>
          <t>Mid-Market</t>
        </is>
      </c>
      <c r="G394" s="109" t="n">
        <v>25</v>
      </c>
      <c r="H394" s="110" t="n">
        <v>749975</v>
      </c>
      <c r="I394" s="110" t="n">
        <v>897641</v>
      </c>
      <c r="J394" s="110" t="n">
        <v>764593</v>
      </c>
      <c r="K394" s="108" t="inlineStr">
        <is>
          <t>Won</t>
        </is>
      </c>
      <c r="L394" s="138" t="n">
        <v>93</v>
      </c>
      <c r="M394" s="108" t="inlineStr">
        <is>
          <t>Nu LLC</t>
        </is>
      </c>
      <c r="N394" s="108" t="inlineStr">
        <is>
          <t>Enterprise (&gt;$200K)</t>
        </is>
      </c>
      <c r="O394" s="108" t="inlineStr">
        <is>
          <t>LinkedIn</t>
        </is>
      </c>
      <c r="P394" s="110">
        <f>H394*0.08</f>
        <v/>
      </c>
      <c r="Q394" s="137" t="n">
        <v>0.07000000000000001</v>
      </c>
      <c r="R394" s="108" t="inlineStr">
        <is>
          <t>Q1 deal - LinkedIn channel</t>
        </is>
      </c>
    </row>
    <row r="395" ht="15" customHeight="1" s="77">
      <c r="A395" s="117" t="inlineStr">
        <is>
          <t>2025-06-03</t>
        </is>
      </c>
      <c r="B395" s="117" t="inlineStr">
        <is>
          <t>June</t>
        </is>
      </c>
      <c r="C395" s="117" t="inlineStr">
        <is>
          <t>Kevin Martin</t>
        </is>
      </c>
      <c r="D395" s="117" t="inlineStr">
        <is>
          <t>West</t>
        </is>
      </c>
      <c r="E395" s="117" t="inlineStr">
        <is>
          <t>Product D</t>
        </is>
      </c>
      <c r="F395" s="117" t="inlineStr">
        <is>
          <t>Startup</t>
        </is>
      </c>
      <c r="G395" s="118" t="n">
        <v>3</v>
      </c>
      <c r="H395" s="119" t="n">
        <v>74997</v>
      </c>
      <c r="I395" s="119" t="n">
        <v>82197</v>
      </c>
      <c r="J395" s="119" t="n">
        <v>68495</v>
      </c>
      <c r="K395" s="117" t="inlineStr">
        <is>
          <t>Won</t>
        </is>
      </c>
      <c r="L395" s="140" t="n">
        <v>70</v>
      </c>
      <c r="M395" s="117" t="inlineStr">
        <is>
          <t>Xi Ltd</t>
        </is>
      </c>
      <c r="N395" s="117" t="inlineStr">
        <is>
          <t>Large ($50K-$200K)</t>
        </is>
      </c>
      <c r="O395" s="117" t="inlineStr">
        <is>
          <t>Trade Show</t>
        </is>
      </c>
      <c r="P395" s="119">
        <f>H395*0.08</f>
        <v/>
      </c>
      <c r="Q395" s="139" t="n">
        <v>0.03</v>
      </c>
      <c r="R395" s="117" t="inlineStr">
        <is>
          <t>Q2 deal - Trade Show channel</t>
        </is>
      </c>
    </row>
    <row r="396" ht="15" customHeight="1" s="77">
      <c r="A396" s="108" t="inlineStr">
        <is>
          <t>2025-07-17</t>
        </is>
      </c>
      <c r="B396" s="108" t="inlineStr">
        <is>
          <t>July</t>
        </is>
      </c>
      <c r="C396" s="108" t="inlineStr">
        <is>
          <t>Nina Patel</t>
        </is>
      </c>
      <c r="D396" s="108" t="inlineStr">
        <is>
          <t>East</t>
        </is>
      </c>
      <c r="E396" s="108" t="inlineStr">
        <is>
          <t>Product E</t>
        </is>
      </c>
      <c r="F396" s="108" t="inlineStr">
        <is>
          <t>Government</t>
        </is>
      </c>
      <c r="G396" s="109" t="n">
        <v>37</v>
      </c>
      <c r="H396" s="110" t="n">
        <v>1849963</v>
      </c>
      <c r="I396" s="110" t="n">
        <v>1898176</v>
      </c>
      <c r="J396" s="110" t="n">
        <v>1971844</v>
      </c>
      <c r="K396" s="108" t="inlineStr">
        <is>
          <t>Won</t>
        </is>
      </c>
      <c r="L396" s="138" t="n">
        <v>12</v>
      </c>
      <c r="M396" s="108" t="inlineStr">
        <is>
          <t>Pi Co</t>
        </is>
      </c>
      <c r="N396" s="108" t="inlineStr">
        <is>
          <t>Enterprise (&gt;$200K)</t>
        </is>
      </c>
      <c r="O396" s="108" t="inlineStr">
        <is>
          <t>Website</t>
        </is>
      </c>
      <c r="P396" s="110">
        <f>H396*0.08</f>
        <v/>
      </c>
      <c r="Q396" s="137" t="n">
        <v>0.02</v>
      </c>
      <c r="R396" s="108" t="inlineStr">
        <is>
          <t>Q3 deal - Website channel</t>
        </is>
      </c>
    </row>
    <row r="397" ht="15" customHeight="1" s="77">
      <c r="A397" s="117" t="inlineStr">
        <is>
          <t>2025-01-08</t>
        </is>
      </c>
      <c r="B397" s="117" t="inlineStr">
        <is>
          <t>January</t>
        </is>
      </c>
      <c r="C397" s="117" t="inlineStr">
        <is>
          <t>Chris Wilson</t>
        </is>
      </c>
      <c r="D397" s="117" t="inlineStr">
        <is>
          <t>South</t>
        </is>
      </c>
      <c r="E397" s="117" t="inlineStr">
        <is>
          <t>Product F</t>
        </is>
      </c>
      <c r="F397" s="117" t="inlineStr">
        <is>
          <t>Enterprise</t>
        </is>
      </c>
      <c r="G397" s="118" t="n">
        <v>5</v>
      </c>
      <c r="H397" s="119" t="n">
        <v>99995</v>
      </c>
      <c r="I397" s="119" t="n">
        <v>111380</v>
      </c>
      <c r="J397" s="119" t="n">
        <v>108552</v>
      </c>
      <c r="K397" s="117" t="inlineStr">
        <is>
          <t>Lost</t>
        </is>
      </c>
      <c r="L397" s="140" t="n">
        <v>69</v>
      </c>
      <c r="M397" s="117" t="inlineStr">
        <is>
          <t>Rho Corp</t>
        </is>
      </c>
      <c r="N397" s="117" t="inlineStr">
        <is>
          <t>Large ($50K-$200K)</t>
        </is>
      </c>
      <c r="O397" s="117" t="inlineStr">
        <is>
          <t>Partner</t>
        </is>
      </c>
      <c r="P397" s="119">
        <f>H397*0.08</f>
        <v/>
      </c>
      <c r="Q397" s="139" t="n">
        <v>0.02</v>
      </c>
      <c r="R397" s="117" t="inlineStr">
        <is>
          <t>Q4 deal - Partner channel</t>
        </is>
      </c>
    </row>
    <row r="398" ht="15" customHeight="1" s="77">
      <c r="A398" s="108" t="inlineStr">
        <is>
          <t>2025-07-27</t>
        </is>
      </c>
      <c r="B398" s="108" t="inlineStr">
        <is>
          <t>July</t>
        </is>
      </c>
      <c r="C398" s="108" t="inlineStr">
        <is>
          <t>Amanda Foster</t>
        </is>
      </c>
      <c r="D398" s="108" t="inlineStr">
        <is>
          <t>Central</t>
        </is>
      </c>
      <c r="E398" s="108" t="inlineStr">
        <is>
          <t>Product G</t>
        </is>
      </c>
      <c r="F398" s="108" t="inlineStr">
        <is>
          <t>SMB</t>
        </is>
      </c>
      <c r="G398" s="109" t="n">
        <v>42</v>
      </c>
      <c r="H398" s="110" t="n">
        <v>1259958</v>
      </c>
      <c r="I398" s="110" t="n">
        <v>1272920</v>
      </c>
      <c r="J398" s="110" t="n">
        <v>1342695</v>
      </c>
      <c r="K398" s="108" t="inlineStr">
        <is>
          <t>In Progress</t>
        </is>
      </c>
      <c r="L398" s="138" t="n">
        <v>40</v>
      </c>
      <c r="M398" s="108" t="inlineStr">
        <is>
          <t>Sigma Inc</t>
        </is>
      </c>
      <c r="N398" s="108" t="inlineStr">
        <is>
          <t>Enterprise (&gt;$200K)</t>
        </is>
      </c>
      <c r="O398" s="108" t="inlineStr">
        <is>
          <t>Email Campaign</t>
        </is>
      </c>
      <c r="P398" s="110">
        <f>H398*0.08</f>
        <v/>
      </c>
      <c r="Q398" s="137" t="n">
        <v>0.03</v>
      </c>
      <c r="R398" s="108" t="inlineStr">
        <is>
          <t>Q1 deal - Email Campaign channel</t>
        </is>
      </c>
    </row>
    <row r="399" ht="15" customHeight="1" s="77">
      <c r="A399" s="117" t="inlineStr">
        <is>
          <t>2025-10-13</t>
        </is>
      </c>
      <c r="B399" s="117" t="inlineStr">
        <is>
          <t>October</t>
        </is>
      </c>
      <c r="C399" s="117" t="inlineStr">
        <is>
          <t>Robert Taylor</t>
        </is>
      </c>
      <c r="D399" s="117" t="inlineStr">
        <is>
          <t>International</t>
        </is>
      </c>
      <c r="E399" s="117" t="inlineStr">
        <is>
          <t>Product H</t>
        </is>
      </c>
      <c r="F399" s="117" t="inlineStr">
        <is>
          <t>Mid-Market</t>
        </is>
      </c>
      <c r="G399" s="118" t="n">
        <v>45</v>
      </c>
      <c r="H399" s="119" t="n">
        <v>224955</v>
      </c>
      <c r="I399" s="119" t="n">
        <v>246394</v>
      </c>
      <c r="J399" s="119" t="n">
        <v>244752</v>
      </c>
      <c r="K399" s="117" t="inlineStr">
        <is>
          <t>In Progress</t>
        </is>
      </c>
      <c r="L399" s="140" t="n">
        <v>63</v>
      </c>
      <c r="M399" s="117" t="inlineStr">
        <is>
          <t>Tau LLC</t>
        </is>
      </c>
      <c r="N399" s="117" t="inlineStr">
        <is>
          <t>Enterprise (&gt;$200K)</t>
        </is>
      </c>
      <c r="O399" s="117" t="inlineStr">
        <is>
          <t>Webinar</t>
        </is>
      </c>
      <c r="P399" s="119">
        <f>H399*0.08</f>
        <v/>
      </c>
      <c r="Q399" s="139" t="n">
        <v>0.06</v>
      </c>
      <c r="R399" s="117" t="inlineStr">
        <is>
          <t>Q2 deal - Webinar channel</t>
        </is>
      </c>
    </row>
    <row r="400" ht="15" customHeight="1" s="77">
      <c r="A400" s="108" t="inlineStr">
        <is>
          <t>2025-05-13</t>
        </is>
      </c>
      <c r="B400" s="108" t="inlineStr">
        <is>
          <t>May</t>
        </is>
      </c>
      <c r="C400" s="108" t="inlineStr">
        <is>
          <t>Jennifer Moore</t>
        </is>
      </c>
      <c r="D400" s="108" t="inlineStr">
        <is>
          <t>North</t>
        </is>
      </c>
      <c r="E400" s="108" t="inlineStr">
        <is>
          <t>Product I</t>
        </is>
      </c>
      <c r="F400" s="108" t="inlineStr">
        <is>
          <t>Startup</t>
        </is>
      </c>
      <c r="G400" s="109" t="n">
        <v>25</v>
      </c>
      <c r="H400" s="110" t="n">
        <v>1249975</v>
      </c>
      <c r="I400" s="110" t="n">
        <v>1338090</v>
      </c>
      <c r="J400" s="110" t="n">
        <v>1353794</v>
      </c>
      <c r="K400" s="108" t="inlineStr">
        <is>
          <t>Won</t>
        </is>
      </c>
      <c r="L400" s="138" t="n">
        <v>80</v>
      </c>
      <c r="M400" s="108" t="inlineStr">
        <is>
          <t>Upsilon Ltd</t>
        </is>
      </c>
      <c r="N400" s="108" t="inlineStr">
        <is>
          <t>Enterprise (&gt;$200K)</t>
        </is>
      </c>
      <c r="O400" s="108" t="inlineStr">
        <is>
          <t>SEO</t>
        </is>
      </c>
      <c r="P400" s="110">
        <f>H400*0.08</f>
        <v/>
      </c>
      <c r="Q400" s="137" t="n">
        <v>0.06</v>
      </c>
      <c r="R400" s="108" t="inlineStr">
        <is>
          <t>Q3 deal - SEO channel</t>
        </is>
      </c>
    </row>
    <row r="401" ht="15" customHeight="1" s="77">
      <c r="A401" s="117" t="inlineStr">
        <is>
          <t>2025-01-26</t>
        </is>
      </c>
      <c r="B401" s="117" t="inlineStr">
        <is>
          <t>January</t>
        </is>
      </c>
      <c r="C401" s="117" t="inlineStr">
        <is>
          <t>Daniel Jackson</t>
        </is>
      </c>
      <c r="D401" s="117" t="inlineStr">
        <is>
          <t>West</t>
        </is>
      </c>
      <c r="E401" s="117" t="inlineStr">
        <is>
          <t>Product J</t>
        </is>
      </c>
      <c r="F401" s="117" t="inlineStr">
        <is>
          <t>Government</t>
        </is>
      </c>
      <c r="G401" s="118" t="n">
        <v>38</v>
      </c>
      <c r="H401" s="119" t="n">
        <v>1139962</v>
      </c>
      <c r="I401" s="119" t="n">
        <v>1111397</v>
      </c>
      <c r="J401" s="119" t="n">
        <v>982613</v>
      </c>
      <c r="K401" s="117" t="inlineStr">
        <is>
          <t>Won</t>
        </is>
      </c>
      <c r="L401" s="140" t="n">
        <v>115</v>
      </c>
      <c r="M401" s="117" t="inlineStr">
        <is>
          <t>Phi Co</t>
        </is>
      </c>
      <c r="N401" s="117" t="inlineStr">
        <is>
          <t>Enterprise (&gt;$200K)</t>
        </is>
      </c>
      <c r="O401" s="117" t="inlineStr">
        <is>
          <t>Direct</t>
        </is>
      </c>
      <c r="P401" s="119">
        <f>H401*0.08</f>
        <v/>
      </c>
      <c r="Q401" s="139" t="n">
        <v>0.07000000000000001</v>
      </c>
      <c r="R401" s="117" t="inlineStr">
        <is>
          <t>Q4 deal - Direct channel</t>
        </is>
      </c>
    </row>
    <row r="402" ht="15" customHeight="1" s="77">
      <c r="A402" s="108" t="inlineStr">
        <is>
          <t>2025-10-06</t>
        </is>
      </c>
      <c r="B402" s="108" t="inlineStr">
        <is>
          <t>October</t>
        </is>
      </c>
      <c r="C402" s="108" t="inlineStr">
        <is>
          <t>Sarah Johnson</t>
        </is>
      </c>
      <c r="D402" s="108" t="inlineStr">
        <is>
          <t>North</t>
        </is>
      </c>
      <c r="E402" s="108" t="inlineStr">
        <is>
          <t>Product A</t>
        </is>
      </c>
      <c r="F402" s="108" t="inlineStr">
        <is>
          <t>Enterprise</t>
        </is>
      </c>
      <c r="G402" s="109" t="n">
        <v>28</v>
      </c>
      <c r="H402" s="110" t="n">
        <v>559972</v>
      </c>
      <c r="I402" s="110" t="n">
        <v>615421</v>
      </c>
      <c r="J402" s="110" t="n">
        <v>515437</v>
      </c>
      <c r="K402" s="108" t="inlineStr">
        <is>
          <t>Won</t>
        </is>
      </c>
      <c r="L402" s="138" t="n">
        <v>62</v>
      </c>
      <c r="M402" s="108" t="inlineStr">
        <is>
          <t>Acme Corp</t>
        </is>
      </c>
      <c r="N402" s="108" t="inlineStr">
        <is>
          <t>Enterprise (&gt;$200K)</t>
        </is>
      </c>
      <c r="O402" s="108" t="inlineStr">
        <is>
          <t>Referral</t>
        </is>
      </c>
      <c r="P402" s="110">
        <f>H402*0.08</f>
        <v/>
      </c>
      <c r="Q402" s="137" t="n">
        <v>0.09</v>
      </c>
      <c r="R402" s="108" t="inlineStr">
        <is>
          <t>Q1 deal - Referral channel</t>
        </is>
      </c>
    </row>
    <row r="403" ht="15" customHeight="1" s="77">
      <c r="A403" s="117" t="inlineStr">
        <is>
          <t>2025-04-07</t>
        </is>
      </c>
      <c r="B403" s="117" t="inlineStr">
        <is>
          <t>April</t>
        </is>
      </c>
      <c r="C403" s="117" t="inlineStr">
        <is>
          <t>Mike Chen</t>
        </is>
      </c>
      <c r="D403" s="117" t="inlineStr">
        <is>
          <t>West</t>
        </is>
      </c>
      <c r="E403" s="117" t="inlineStr">
        <is>
          <t>Product B</t>
        </is>
      </c>
      <c r="F403" s="117" t="inlineStr">
        <is>
          <t>SMB</t>
        </is>
      </c>
      <c r="G403" s="118" t="n">
        <v>17</v>
      </c>
      <c r="H403" s="119" t="n">
        <v>339983</v>
      </c>
      <c r="I403" s="119" t="n">
        <v>395943</v>
      </c>
      <c r="J403" s="119" t="n">
        <v>361216</v>
      </c>
      <c r="K403" s="117" t="inlineStr">
        <is>
          <t>Won</t>
        </is>
      </c>
      <c r="L403" s="140" t="n">
        <v>65</v>
      </c>
      <c r="M403" s="117" t="inlineStr">
        <is>
          <t>Beta Inc</t>
        </is>
      </c>
      <c r="N403" s="117" t="inlineStr">
        <is>
          <t>Enterprise (&gt;$200K)</t>
        </is>
      </c>
      <c r="O403" s="117" t="inlineStr">
        <is>
          <t>Cold Call</t>
        </is>
      </c>
      <c r="P403" s="119">
        <f>H403*0.08</f>
        <v/>
      </c>
      <c r="Q403" s="139" t="n">
        <v>0.1</v>
      </c>
      <c r="R403" s="117" t="inlineStr">
        <is>
          <t>Q2 deal - Cold Call channel</t>
        </is>
      </c>
    </row>
    <row r="404" ht="15" customHeight="1" s="77">
      <c r="A404" s="108" t="inlineStr">
        <is>
          <t>2025-12-06</t>
        </is>
      </c>
      <c r="B404" s="108" t="inlineStr">
        <is>
          <t>December</t>
        </is>
      </c>
      <c r="C404" s="108" t="inlineStr">
        <is>
          <t>Priya Sharma</t>
        </is>
      </c>
      <c r="D404" s="108" t="inlineStr">
        <is>
          <t>East</t>
        </is>
      </c>
      <c r="E404" s="108" t="inlineStr">
        <is>
          <t>Product C</t>
        </is>
      </c>
      <c r="F404" s="108" t="inlineStr">
        <is>
          <t>Mid-Market</t>
        </is>
      </c>
      <c r="G404" s="109" t="n">
        <v>6</v>
      </c>
      <c r="H404" s="110" t="n">
        <v>179994</v>
      </c>
      <c r="I404" s="110" t="n">
        <v>162536</v>
      </c>
      <c r="J404" s="110" t="n">
        <v>178890</v>
      </c>
      <c r="K404" s="108" t="inlineStr">
        <is>
          <t>Lost</t>
        </is>
      </c>
      <c r="L404" s="138" t="n">
        <v>81</v>
      </c>
      <c r="M404" s="108" t="inlineStr">
        <is>
          <t>Gamma LLC</t>
        </is>
      </c>
      <c r="N404" s="108" t="inlineStr">
        <is>
          <t>Large ($50K-$200K)</t>
        </is>
      </c>
      <c r="O404" s="108" t="inlineStr">
        <is>
          <t>LinkedIn</t>
        </is>
      </c>
      <c r="P404" s="110">
        <f>H404*0.08</f>
        <v/>
      </c>
      <c r="Q404" s="137" t="n">
        <v>0.09</v>
      </c>
      <c r="R404" s="108" t="inlineStr">
        <is>
          <t>Q3 deal - LinkedIn channel</t>
        </is>
      </c>
    </row>
    <row r="405" ht="15" customHeight="1" s="77">
      <c r="A405" s="117" t="inlineStr">
        <is>
          <t>2025-01-06</t>
        </is>
      </c>
      <c r="B405" s="117" t="inlineStr">
        <is>
          <t>January</t>
        </is>
      </c>
      <c r="C405" s="117" t="inlineStr">
        <is>
          <t>James Williams</t>
        </is>
      </c>
      <c r="D405" s="117" t="inlineStr">
        <is>
          <t>South</t>
        </is>
      </c>
      <c r="E405" s="117" t="inlineStr">
        <is>
          <t>Product D</t>
        </is>
      </c>
      <c r="F405" s="117" t="inlineStr">
        <is>
          <t>Startup</t>
        </is>
      </c>
      <c r="G405" s="118" t="n">
        <v>30</v>
      </c>
      <c r="H405" s="119" t="n">
        <v>299970</v>
      </c>
      <c r="I405" s="119" t="n">
        <v>297373</v>
      </c>
      <c r="J405" s="119" t="n">
        <v>258492</v>
      </c>
      <c r="K405" s="117" t="inlineStr">
        <is>
          <t>In Progress</t>
        </is>
      </c>
      <c r="L405" s="140" t="n">
        <v>49</v>
      </c>
      <c r="M405" s="117" t="inlineStr">
        <is>
          <t>Delta Ltd</t>
        </is>
      </c>
      <c r="N405" s="117" t="inlineStr">
        <is>
          <t>Enterprise (&gt;$200K)</t>
        </is>
      </c>
      <c r="O405" s="117" t="inlineStr">
        <is>
          <t>Trade Show</t>
        </is>
      </c>
      <c r="P405" s="119">
        <f>H405*0.08</f>
        <v/>
      </c>
      <c r="Q405" s="139" t="n">
        <v>0.04</v>
      </c>
      <c r="R405" s="117" t="inlineStr">
        <is>
          <t>Q4 deal - Trade Show channel</t>
        </is>
      </c>
    </row>
    <row r="406" ht="15" customHeight="1" s="77">
      <c r="A406" s="108" t="inlineStr">
        <is>
          <t>2025-02-23</t>
        </is>
      </c>
      <c r="B406" s="108" t="inlineStr">
        <is>
          <t>February</t>
        </is>
      </c>
      <c r="C406" s="108" t="inlineStr">
        <is>
          <t>Emily Davis</t>
        </is>
      </c>
      <c r="D406" s="108" t="inlineStr">
        <is>
          <t>Central</t>
        </is>
      </c>
      <c r="E406" s="108" t="inlineStr">
        <is>
          <t>Product E</t>
        </is>
      </c>
      <c r="F406" s="108" t="inlineStr">
        <is>
          <t>Government</t>
        </is>
      </c>
      <c r="G406" s="109" t="n">
        <v>27</v>
      </c>
      <c r="H406" s="110" t="n">
        <v>134973</v>
      </c>
      <c r="I406" s="110" t="n">
        <v>157775</v>
      </c>
      <c r="J406" s="110" t="n">
        <v>137455</v>
      </c>
      <c r="K406" s="108" t="inlineStr">
        <is>
          <t>In Progress</t>
        </is>
      </c>
      <c r="L406" s="138" t="n">
        <v>19</v>
      </c>
      <c r="M406" s="108" t="inlineStr">
        <is>
          <t>Epsilon Co</t>
        </is>
      </c>
      <c r="N406" s="108" t="inlineStr">
        <is>
          <t>Large ($50K-$200K)</t>
        </is>
      </c>
      <c r="O406" s="108" t="inlineStr">
        <is>
          <t>Website</t>
        </is>
      </c>
      <c r="P406" s="110">
        <f>H406*0.08</f>
        <v/>
      </c>
      <c r="Q406" s="137" t="n">
        <v>0.13</v>
      </c>
      <c r="R406" s="108" t="inlineStr">
        <is>
          <t>Q1 deal - Website channel</t>
        </is>
      </c>
    </row>
    <row r="407" ht="15" customHeight="1" s="77">
      <c r="A407" s="117" t="inlineStr">
        <is>
          <t>2025-09-30</t>
        </is>
      </c>
      <c r="B407" s="117" t="inlineStr">
        <is>
          <t>September</t>
        </is>
      </c>
      <c r="C407" s="117" t="inlineStr">
        <is>
          <t>Carlos Ruiz</t>
        </is>
      </c>
      <c r="D407" s="117" t="inlineStr">
        <is>
          <t>International</t>
        </is>
      </c>
      <c r="E407" s="117" t="inlineStr">
        <is>
          <t>Product F</t>
        </is>
      </c>
      <c r="F407" s="117" t="inlineStr">
        <is>
          <t>Enterprise</t>
        </is>
      </c>
      <c r="G407" s="118" t="n">
        <v>27</v>
      </c>
      <c r="H407" s="119" t="n">
        <v>674973</v>
      </c>
      <c r="I407" s="119" t="n">
        <v>711598</v>
      </c>
      <c r="J407" s="119" t="n">
        <v>636431</v>
      </c>
      <c r="K407" s="117" t="inlineStr">
        <is>
          <t>Won</t>
        </is>
      </c>
      <c r="L407" s="140" t="n">
        <v>96</v>
      </c>
      <c r="M407" s="117" t="inlineStr">
        <is>
          <t>Zeta Corp</t>
        </is>
      </c>
      <c r="N407" s="117" t="inlineStr">
        <is>
          <t>Enterprise (&gt;$200K)</t>
        </is>
      </c>
      <c r="O407" s="117" t="inlineStr">
        <is>
          <t>Partner</t>
        </is>
      </c>
      <c r="P407" s="119">
        <f>H407*0.08</f>
        <v/>
      </c>
      <c r="Q407" s="139" t="n">
        <v>0.08</v>
      </c>
      <c r="R407" s="117" t="inlineStr">
        <is>
          <t>Q2 deal - Partner channel</t>
        </is>
      </c>
    </row>
    <row r="408" ht="15" customHeight="1" s="77">
      <c r="A408" s="108" t="inlineStr">
        <is>
          <t>2025-08-15</t>
        </is>
      </c>
      <c r="B408" s="108" t="inlineStr">
        <is>
          <t>August</t>
        </is>
      </c>
      <c r="C408" s="108" t="inlineStr">
        <is>
          <t>Lisa Park</t>
        </is>
      </c>
      <c r="D408" s="108" t="inlineStr">
        <is>
          <t>North</t>
        </is>
      </c>
      <c r="E408" s="108" t="inlineStr">
        <is>
          <t>Product G</t>
        </is>
      </c>
      <c r="F408" s="108" t="inlineStr">
        <is>
          <t>SMB</t>
        </is>
      </c>
      <c r="G408" s="109" t="n">
        <v>27</v>
      </c>
      <c r="H408" s="110" t="n">
        <v>809973</v>
      </c>
      <c r="I408" s="110" t="n">
        <v>821726</v>
      </c>
      <c r="J408" s="110" t="n">
        <v>763568</v>
      </c>
      <c r="K408" s="108" t="inlineStr">
        <is>
          <t>Won</t>
        </is>
      </c>
      <c r="L408" s="138" t="n">
        <v>36</v>
      </c>
      <c r="M408" s="108" t="inlineStr">
        <is>
          <t>Eta Inc</t>
        </is>
      </c>
      <c r="N408" s="108" t="inlineStr">
        <is>
          <t>Enterprise (&gt;$200K)</t>
        </is>
      </c>
      <c r="O408" s="108" t="inlineStr">
        <is>
          <t>Email Campaign</t>
        </is>
      </c>
      <c r="P408" s="110">
        <f>H408*0.08</f>
        <v/>
      </c>
      <c r="Q408" s="137" t="n">
        <v>0.01</v>
      </c>
      <c r="R408" s="108" t="inlineStr">
        <is>
          <t>Q3 deal - Email Campaign channel</t>
        </is>
      </c>
    </row>
    <row r="409" ht="15" customHeight="1" s="77">
      <c r="A409" s="117" t="inlineStr">
        <is>
          <t>2025-11-21</t>
        </is>
      </c>
      <c r="B409" s="117" t="inlineStr">
        <is>
          <t>November</t>
        </is>
      </c>
      <c r="C409" s="117" t="inlineStr">
        <is>
          <t>Tom Brown</t>
        </is>
      </c>
      <c r="D409" s="117" t="inlineStr">
        <is>
          <t>West</t>
        </is>
      </c>
      <c r="E409" s="117" t="inlineStr">
        <is>
          <t>Product H</t>
        </is>
      </c>
      <c r="F409" s="117" t="inlineStr">
        <is>
          <t>Mid-Market</t>
        </is>
      </c>
      <c r="G409" s="118" t="n">
        <v>39</v>
      </c>
      <c r="H409" s="119" t="n">
        <v>194961</v>
      </c>
      <c r="I409" s="119" t="n">
        <v>200160</v>
      </c>
      <c r="J409" s="119" t="n">
        <v>177119</v>
      </c>
      <c r="K409" s="117" t="inlineStr">
        <is>
          <t>Won</t>
        </is>
      </c>
      <c r="L409" s="140" t="n">
        <v>7</v>
      </c>
      <c r="M409" s="117" t="inlineStr">
        <is>
          <t>Theta LLC</t>
        </is>
      </c>
      <c r="N409" s="117" t="inlineStr">
        <is>
          <t>Large ($50K-$200K)</t>
        </is>
      </c>
      <c r="O409" s="117" t="inlineStr">
        <is>
          <t>Webinar</t>
        </is>
      </c>
      <c r="P409" s="119">
        <f>H409*0.08</f>
        <v/>
      </c>
      <c r="Q409" s="139" t="n">
        <v>0.12</v>
      </c>
      <c r="R409" s="117" t="inlineStr">
        <is>
          <t>Q4 deal - Webinar channel</t>
        </is>
      </c>
    </row>
    <row r="410" ht="15" customHeight="1" s="77">
      <c r="A410" s="108" t="inlineStr">
        <is>
          <t>2025-07-21</t>
        </is>
      </c>
      <c r="B410" s="108" t="inlineStr">
        <is>
          <t>July</t>
        </is>
      </c>
      <c r="C410" s="108" t="inlineStr">
        <is>
          <t>Anna Schmidt</t>
        </is>
      </c>
      <c r="D410" s="108" t="inlineStr">
        <is>
          <t>East</t>
        </is>
      </c>
      <c r="E410" s="108" t="inlineStr">
        <is>
          <t>Product I</t>
        </is>
      </c>
      <c r="F410" s="108" t="inlineStr">
        <is>
          <t>Startup</t>
        </is>
      </c>
      <c r="G410" s="109" t="n">
        <v>20</v>
      </c>
      <c r="H410" s="110" t="n">
        <v>159980</v>
      </c>
      <c r="I410" s="110" t="n">
        <v>161699</v>
      </c>
      <c r="J410" s="110" t="n">
        <v>141633</v>
      </c>
      <c r="K410" s="108" t="inlineStr">
        <is>
          <t>Won</t>
        </is>
      </c>
      <c r="L410" s="138" t="n">
        <v>72</v>
      </c>
      <c r="M410" s="108" t="inlineStr">
        <is>
          <t>Iota Ltd</t>
        </is>
      </c>
      <c r="N410" s="108" t="inlineStr">
        <is>
          <t>Large ($50K-$200K)</t>
        </is>
      </c>
      <c r="O410" s="108" t="inlineStr">
        <is>
          <t>SEO</t>
        </is>
      </c>
      <c r="P410" s="110">
        <f>H410*0.08</f>
        <v/>
      </c>
      <c r="Q410" s="137" t="n">
        <v>0.1</v>
      </c>
      <c r="R410" s="108" t="inlineStr">
        <is>
          <t>Q1 deal - SEO channel</t>
        </is>
      </c>
    </row>
    <row r="411" ht="15" customHeight="1" s="77">
      <c r="A411" s="117" t="inlineStr">
        <is>
          <t>2025-02-08</t>
        </is>
      </c>
      <c r="B411" s="117" t="inlineStr">
        <is>
          <t>February</t>
        </is>
      </c>
      <c r="C411" s="117" t="inlineStr">
        <is>
          <t>David Kim</t>
        </is>
      </c>
      <c r="D411" s="117" t="inlineStr">
        <is>
          <t>South</t>
        </is>
      </c>
      <c r="E411" s="117" t="inlineStr">
        <is>
          <t>Product J</t>
        </is>
      </c>
      <c r="F411" s="117" t="inlineStr">
        <is>
          <t>Government</t>
        </is>
      </c>
      <c r="G411" s="118" t="n">
        <v>8</v>
      </c>
      <c r="H411" s="119" t="n">
        <v>63992</v>
      </c>
      <c r="I411" s="119" t="n">
        <v>68729</v>
      </c>
      <c r="J411" s="119" t="n">
        <v>65696</v>
      </c>
      <c r="K411" s="117" t="inlineStr">
        <is>
          <t>Lost</t>
        </is>
      </c>
      <c r="L411" s="140" t="n">
        <v>118</v>
      </c>
      <c r="M411" s="117" t="inlineStr">
        <is>
          <t>Kappa Co</t>
        </is>
      </c>
      <c r="N411" s="117" t="inlineStr">
        <is>
          <t>Large ($50K-$200K)</t>
        </is>
      </c>
      <c r="O411" s="117" t="inlineStr">
        <is>
          <t>Direct</t>
        </is>
      </c>
      <c r="P411" s="119">
        <f>H411*0.08</f>
        <v/>
      </c>
      <c r="Q411" s="139" t="n">
        <v>0.12</v>
      </c>
      <c r="R411" s="117" t="inlineStr">
        <is>
          <t>Q2 deal - Direct channel</t>
        </is>
      </c>
    </row>
    <row r="412" ht="15" customHeight="1" s="77">
      <c r="A412" s="108" t="inlineStr">
        <is>
          <t>2025-07-24</t>
        </is>
      </c>
      <c r="B412" s="108" t="inlineStr">
        <is>
          <t>July</t>
        </is>
      </c>
      <c r="C412" s="108" t="inlineStr">
        <is>
          <t>Rachel Green</t>
        </is>
      </c>
      <c r="D412" s="108" t="inlineStr">
        <is>
          <t>Central</t>
        </is>
      </c>
      <c r="E412" s="108" t="inlineStr">
        <is>
          <t>Product A</t>
        </is>
      </c>
      <c r="F412" s="108" t="inlineStr">
        <is>
          <t>Enterprise</t>
        </is>
      </c>
      <c r="G412" s="109" t="n">
        <v>4</v>
      </c>
      <c r="H412" s="110" t="n">
        <v>99996</v>
      </c>
      <c r="I412" s="110" t="n">
        <v>91016</v>
      </c>
      <c r="J412" s="110" t="n">
        <v>101636</v>
      </c>
      <c r="K412" s="108" t="inlineStr">
        <is>
          <t>In Progress</t>
        </is>
      </c>
      <c r="L412" s="138" t="n">
        <v>102</v>
      </c>
      <c r="M412" s="108" t="inlineStr">
        <is>
          <t>Lambda Corp</t>
        </is>
      </c>
      <c r="N412" s="108" t="inlineStr">
        <is>
          <t>Large ($50K-$200K)</t>
        </is>
      </c>
      <c r="O412" s="108" t="inlineStr">
        <is>
          <t>Referral</t>
        </is>
      </c>
      <c r="P412" s="110">
        <f>H412*0.08</f>
        <v/>
      </c>
      <c r="Q412" s="137" t="n">
        <v>0.04</v>
      </c>
      <c r="R412" s="108" t="inlineStr">
        <is>
          <t>Q3 deal - Referral channel</t>
        </is>
      </c>
    </row>
    <row r="413" ht="15" customHeight="1" s="77">
      <c r="A413" s="117" t="inlineStr">
        <is>
          <t>2025-05-06</t>
        </is>
      </c>
      <c r="B413" s="117" t="inlineStr">
        <is>
          <t>May</t>
        </is>
      </c>
      <c r="C413" s="117" t="inlineStr">
        <is>
          <t>Mark Thompson</t>
        </is>
      </c>
      <c r="D413" s="117" t="inlineStr">
        <is>
          <t>International</t>
        </is>
      </c>
      <c r="E413" s="117" t="inlineStr">
        <is>
          <t>Product B</t>
        </is>
      </c>
      <c r="F413" s="117" t="inlineStr">
        <is>
          <t>SMB</t>
        </is>
      </c>
      <c r="G413" s="118" t="n">
        <v>27</v>
      </c>
      <c r="H413" s="119" t="n">
        <v>215973</v>
      </c>
      <c r="I413" s="119" t="n">
        <v>203181</v>
      </c>
      <c r="J413" s="119" t="n">
        <v>195685</v>
      </c>
      <c r="K413" s="117" t="inlineStr">
        <is>
          <t>In Progress</t>
        </is>
      </c>
      <c r="L413" s="140" t="n">
        <v>14</v>
      </c>
      <c r="M413" s="117" t="inlineStr">
        <is>
          <t>Mu Inc</t>
        </is>
      </c>
      <c r="N413" s="117" t="inlineStr">
        <is>
          <t>Enterprise (&gt;$200K)</t>
        </is>
      </c>
      <c r="O413" s="117" t="inlineStr">
        <is>
          <t>Cold Call</t>
        </is>
      </c>
      <c r="P413" s="119">
        <f>H413*0.08</f>
        <v/>
      </c>
      <c r="Q413" s="139" t="n">
        <v>0.08</v>
      </c>
      <c r="R413" s="117" t="inlineStr">
        <is>
          <t>Q4 deal - Cold Call channel</t>
        </is>
      </c>
    </row>
    <row r="414" ht="15" customHeight="1" s="77">
      <c r="A414" s="108" t="inlineStr">
        <is>
          <t>2025-07-15</t>
        </is>
      </c>
      <c r="B414" s="108" t="inlineStr">
        <is>
          <t>July</t>
        </is>
      </c>
      <c r="C414" s="108" t="inlineStr">
        <is>
          <t>Susan Lee</t>
        </is>
      </c>
      <c r="D414" s="108" t="inlineStr">
        <is>
          <t>North</t>
        </is>
      </c>
      <c r="E414" s="108" t="inlineStr">
        <is>
          <t>Product C</t>
        </is>
      </c>
      <c r="F414" s="108" t="inlineStr">
        <is>
          <t>Mid-Market</t>
        </is>
      </c>
      <c r="G414" s="109" t="n">
        <v>5</v>
      </c>
      <c r="H414" s="110" t="n">
        <v>149995</v>
      </c>
      <c r="I414" s="110" t="n">
        <v>151871</v>
      </c>
      <c r="J414" s="110" t="n">
        <v>137727</v>
      </c>
      <c r="K414" s="108" t="inlineStr">
        <is>
          <t>Won</t>
        </is>
      </c>
      <c r="L414" s="138" t="n">
        <v>26</v>
      </c>
      <c r="M414" s="108" t="inlineStr">
        <is>
          <t>Nu LLC</t>
        </is>
      </c>
      <c r="N414" s="108" t="inlineStr">
        <is>
          <t>Large ($50K-$200K)</t>
        </is>
      </c>
      <c r="O414" s="108" t="inlineStr">
        <is>
          <t>LinkedIn</t>
        </is>
      </c>
      <c r="P414" s="110">
        <f>H414*0.08</f>
        <v/>
      </c>
      <c r="Q414" s="137" t="n">
        <v>0.1</v>
      </c>
      <c r="R414" s="108" t="inlineStr">
        <is>
          <t>Q1 deal - LinkedIn channel</t>
        </is>
      </c>
    </row>
    <row r="415" ht="15" customHeight="1" s="77">
      <c r="A415" s="117" t="inlineStr">
        <is>
          <t>2025-12-28</t>
        </is>
      </c>
      <c r="B415" s="117" t="inlineStr">
        <is>
          <t>December</t>
        </is>
      </c>
      <c r="C415" s="117" t="inlineStr">
        <is>
          <t>Kevin Martin</t>
        </is>
      </c>
      <c r="D415" s="117" t="inlineStr">
        <is>
          <t>West</t>
        </is>
      </c>
      <c r="E415" s="117" t="inlineStr">
        <is>
          <t>Product D</t>
        </is>
      </c>
      <c r="F415" s="117" t="inlineStr">
        <is>
          <t>Startup</t>
        </is>
      </c>
      <c r="G415" s="118" t="n">
        <v>10</v>
      </c>
      <c r="H415" s="119" t="n">
        <v>249990</v>
      </c>
      <c r="I415" s="119" t="n">
        <v>274110</v>
      </c>
      <c r="J415" s="119" t="n">
        <v>255955</v>
      </c>
      <c r="K415" s="117" t="inlineStr">
        <is>
          <t>Won</t>
        </is>
      </c>
      <c r="L415" s="140" t="n">
        <v>114</v>
      </c>
      <c r="M415" s="117" t="inlineStr">
        <is>
          <t>Xi Ltd</t>
        </is>
      </c>
      <c r="N415" s="117" t="inlineStr">
        <is>
          <t>Enterprise (&gt;$200K)</t>
        </is>
      </c>
      <c r="O415" s="117" t="inlineStr">
        <is>
          <t>Trade Show</t>
        </is>
      </c>
      <c r="P415" s="119">
        <f>H415*0.08</f>
        <v/>
      </c>
      <c r="Q415" s="139" t="n">
        <v>0.13</v>
      </c>
      <c r="R415" s="117" t="inlineStr">
        <is>
          <t>Q2 deal - Trade Show channel</t>
        </is>
      </c>
    </row>
    <row r="416" ht="15" customHeight="1" s="77">
      <c r="A416" s="108" t="inlineStr">
        <is>
          <t>2025-06-15</t>
        </is>
      </c>
      <c r="B416" s="108" t="inlineStr">
        <is>
          <t>June</t>
        </is>
      </c>
      <c r="C416" s="108" t="inlineStr">
        <is>
          <t>Nina Patel</t>
        </is>
      </c>
      <c r="D416" s="108" t="inlineStr">
        <is>
          <t>East</t>
        </is>
      </c>
      <c r="E416" s="108" t="inlineStr">
        <is>
          <t>Product E</t>
        </is>
      </c>
      <c r="F416" s="108" t="inlineStr">
        <is>
          <t>Government</t>
        </is>
      </c>
      <c r="G416" s="109" t="n">
        <v>44</v>
      </c>
      <c r="H416" s="110" t="n">
        <v>1319956</v>
      </c>
      <c r="I416" s="110" t="n">
        <v>1330120</v>
      </c>
      <c r="J416" s="110" t="n">
        <v>1364754</v>
      </c>
      <c r="K416" s="108" t="inlineStr">
        <is>
          <t>Won</t>
        </is>
      </c>
      <c r="L416" s="138" t="n">
        <v>101</v>
      </c>
      <c r="M416" s="108" t="inlineStr">
        <is>
          <t>Pi Co</t>
        </is>
      </c>
      <c r="N416" s="108" t="inlineStr">
        <is>
          <t>Enterprise (&gt;$200K)</t>
        </is>
      </c>
      <c r="O416" s="108" t="inlineStr">
        <is>
          <t>Website</t>
        </is>
      </c>
      <c r="P416" s="110">
        <f>H416*0.08</f>
        <v/>
      </c>
      <c r="Q416" s="137" t="n">
        <v>0.11</v>
      </c>
      <c r="R416" s="108" t="inlineStr">
        <is>
          <t>Q3 deal - Website channel</t>
        </is>
      </c>
    </row>
    <row r="417" ht="15" customHeight="1" s="77">
      <c r="A417" s="117" t="inlineStr">
        <is>
          <t>2025-04-16</t>
        </is>
      </c>
      <c r="B417" s="117" t="inlineStr">
        <is>
          <t>April</t>
        </is>
      </c>
      <c r="C417" s="117" t="inlineStr">
        <is>
          <t>Chris Wilson</t>
        </is>
      </c>
      <c r="D417" s="117" t="inlineStr">
        <is>
          <t>South</t>
        </is>
      </c>
      <c r="E417" s="117" t="inlineStr">
        <is>
          <t>Product F</t>
        </is>
      </c>
      <c r="F417" s="117" t="inlineStr">
        <is>
          <t>Enterprise</t>
        </is>
      </c>
      <c r="G417" s="118" t="n">
        <v>24</v>
      </c>
      <c r="H417" s="119" t="n">
        <v>359976</v>
      </c>
      <c r="I417" s="119" t="n">
        <v>399270</v>
      </c>
      <c r="J417" s="119" t="n">
        <v>331167</v>
      </c>
      <c r="K417" s="117" t="inlineStr">
        <is>
          <t>Won</t>
        </is>
      </c>
      <c r="L417" s="140" t="n">
        <v>59</v>
      </c>
      <c r="M417" s="117" t="inlineStr">
        <is>
          <t>Rho Corp</t>
        </is>
      </c>
      <c r="N417" s="117" t="inlineStr">
        <is>
          <t>Enterprise (&gt;$200K)</t>
        </is>
      </c>
      <c r="O417" s="117" t="inlineStr">
        <is>
          <t>Partner</t>
        </is>
      </c>
      <c r="P417" s="119">
        <f>H417*0.08</f>
        <v/>
      </c>
      <c r="Q417" s="139" t="n">
        <v>0.12</v>
      </c>
      <c r="R417" s="117" t="inlineStr">
        <is>
          <t>Q4 deal - Partner channel</t>
        </is>
      </c>
    </row>
    <row r="418" ht="15" customHeight="1" s="77">
      <c r="A418" s="108" t="inlineStr">
        <is>
          <t>2025-01-01</t>
        </is>
      </c>
      <c r="B418" s="108" t="inlineStr">
        <is>
          <t>January</t>
        </is>
      </c>
      <c r="C418" s="108" t="inlineStr">
        <is>
          <t>Amanda Foster</t>
        </is>
      </c>
      <c r="D418" s="108" t="inlineStr">
        <is>
          <t>Central</t>
        </is>
      </c>
      <c r="E418" s="108" t="inlineStr">
        <is>
          <t>Product G</t>
        </is>
      </c>
      <c r="F418" s="108" t="inlineStr">
        <is>
          <t>SMB</t>
        </is>
      </c>
      <c r="G418" s="109" t="n">
        <v>2</v>
      </c>
      <c r="H418" s="110" t="n">
        <v>9998</v>
      </c>
      <c r="I418" s="110" t="n">
        <v>11948</v>
      </c>
      <c r="J418" s="110" t="n">
        <v>9004</v>
      </c>
      <c r="K418" s="108" t="inlineStr">
        <is>
          <t>Lost</t>
        </is>
      </c>
      <c r="L418" s="138" t="n">
        <v>103</v>
      </c>
      <c r="M418" s="108" t="inlineStr">
        <is>
          <t>Sigma Inc</t>
        </is>
      </c>
      <c r="N418" s="108" t="inlineStr">
        <is>
          <t>Small (&lt;$10K)</t>
        </is>
      </c>
      <c r="O418" s="108" t="inlineStr">
        <is>
          <t>Email Campaign</t>
        </is>
      </c>
      <c r="P418" s="110">
        <f>H418*0.08</f>
        <v/>
      </c>
      <c r="Q418" s="137" t="n">
        <v>0</v>
      </c>
      <c r="R418" s="108" t="inlineStr">
        <is>
          <t>Q1 deal - Email Campaign channel</t>
        </is>
      </c>
    </row>
    <row r="419" ht="15" customHeight="1" s="77">
      <c r="A419" s="117" t="inlineStr">
        <is>
          <t>2025-02-06</t>
        </is>
      </c>
      <c r="B419" s="117" t="inlineStr">
        <is>
          <t>February</t>
        </is>
      </c>
      <c r="C419" s="117" t="inlineStr">
        <is>
          <t>Robert Taylor</t>
        </is>
      </c>
      <c r="D419" s="117" t="inlineStr">
        <is>
          <t>International</t>
        </is>
      </c>
      <c r="E419" s="117" t="inlineStr">
        <is>
          <t>Product H</t>
        </is>
      </c>
      <c r="F419" s="117" t="inlineStr">
        <is>
          <t>Mid-Market</t>
        </is>
      </c>
      <c r="G419" s="118" t="n">
        <v>7</v>
      </c>
      <c r="H419" s="119" t="n">
        <v>34993</v>
      </c>
      <c r="I419" s="119" t="n">
        <v>31525</v>
      </c>
      <c r="J419" s="119" t="n">
        <v>31321</v>
      </c>
      <c r="K419" s="117" t="inlineStr">
        <is>
          <t>In Progress</t>
        </is>
      </c>
      <c r="L419" s="140" t="n">
        <v>64</v>
      </c>
      <c r="M419" s="117" t="inlineStr">
        <is>
          <t>Tau LLC</t>
        </is>
      </c>
      <c r="N419" s="117" t="inlineStr">
        <is>
          <t>Medium ($10K-$50K)</t>
        </is>
      </c>
      <c r="O419" s="117" t="inlineStr">
        <is>
          <t>Webinar</t>
        </is>
      </c>
      <c r="P419" s="119">
        <f>H419*0.08</f>
        <v/>
      </c>
      <c r="Q419" s="139" t="n">
        <v>0.09</v>
      </c>
      <c r="R419" s="117" t="inlineStr">
        <is>
          <t>Q2 deal - Webinar channel</t>
        </is>
      </c>
    </row>
    <row r="420" ht="15" customHeight="1" s="77">
      <c r="A420" s="108" t="inlineStr">
        <is>
          <t>2025-11-12</t>
        </is>
      </c>
      <c r="B420" s="108" t="inlineStr">
        <is>
          <t>November</t>
        </is>
      </c>
      <c r="C420" s="108" t="inlineStr">
        <is>
          <t>Jennifer Moore</t>
        </is>
      </c>
      <c r="D420" s="108" t="inlineStr">
        <is>
          <t>North</t>
        </is>
      </c>
      <c r="E420" s="108" t="inlineStr">
        <is>
          <t>Product I</t>
        </is>
      </c>
      <c r="F420" s="108" t="inlineStr">
        <is>
          <t>Startup</t>
        </is>
      </c>
      <c r="G420" s="109" t="n">
        <v>32</v>
      </c>
      <c r="H420" s="110" t="n">
        <v>959968</v>
      </c>
      <c r="I420" s="110" t="n">
        <v>943264</v>
      </c>
      <c r="J420" s="110" t="n">
        <v>866333</v>
      </c>
      <c r="K420" s="108" t="inlineStr">
        <is>
          <t>In Progress</t>
        </is>
      </c>
      <c r="L420" s="138" t="n">
        <v>112</v>
      </c>
      <c r="M420" s="108" t="inlineStr">
        <is>
          <t>Upsilon Ltd</t>
        </is>
      </c>
      <c r="N420" s="108" t="inlineStr">
        <is>
          <t>Enterprise (&gt;$200K)</t>
        </is>
      </c>
      <c r="O420" s="108" t="inlineStr">
        <is>
          <t>SEO</t>
        </is>
      </c>
      <c r="P420" s="110">
        <f>H420*0.08</f>
        <v/>
      </c>
      <c r="Q420" s="137" t="n">
        <v>0</v>
      </c>
      <c r="R420" s="108" t="inlineStr">
        <is>
          <t>Q3 deal - SEO channel</t>
        </is>
      </c>
    </row>
    <row r="421" ht="15" customHeight="1" s="77">
      <c r="A421" s="117" t="inlineStr">
        <is>
          <t>2025-02-24</t>
        </is>
      </c>
      <c r="B421" s="117" t="inlineStr">
        <is>
          <t>February</t>
        </is>
      </c>
      <c r="C421" s="117" t="inlineStr">
        <is>
          <t>Daniel Jackson</t>
        </is>
      </c>
      <c r="D421" s="117" t="inlineStr">
        <is>
          <t>West</t>
        </is>
      </c>
      <c r="E421" s="117" t="inlineStr">
        <is>
          <t>Product J</t>
        </is>
      </c>
      <c r="F421" s="117" t="inlineStr">
        <is>
          <t>Government</t>
        </is>
      </c>
      <c r="G421" s="118" t="n">
        <v>19</v>
      </c>
      <c r="H421" s="119" t="n">
        <v>569981</v>
      </c>
      <c r="I421" s="119" t="n">
        <v>622158</v>
      </c>
      <c r="J421" s="119" t="n">
        <v>566441</v>
      </c>
      <c r="K421" s="117" t="inlineStr">
        <is>
          <t>Won</t>
        </is>
      </c>
      <c r="L421" s="140" t="n">
        <v>99</v>
      </c>
      <c r="M421" s="117" t="inlineStr">
        <is>
          <t>Phi Co</t>
        </is>
      </c>
      <c r="N421" s="117" t="inlineStr">
        <is>
          <t>Enterprise (&gt;$200K)</t>
        </is>
      </c>
      <c r="O421" s="117" t="inlineStr">
        <is>
          <t>Direct</t>
        </is>
      </c>
      <c r="P421" s="119">
        <f>H421*0.08</f>
        <v/>
      </c>
      <c r="Q421" s="139" t="n">
        <v>0.01</v>
      </c>
      <c r="R421" s="117" t="inlineStr">
        <is>
          <t>Q4 deal - Direct channel</t>
        </is>
      </c>
    </row>
    <row r="422" ht="15" customHeight="1" s="77">
      <c r="A422" s="108" t="inlineStr">
        <is>
          <t>2025-01-11</t>
        </is>
      </c>
      <c r="B422" s="108" t="inlineStr">
        <is>
          <t>January</t>
        </is>
      </c>
      <c r="C422" s="108" t="inlineStr">
        <is>
          <t>Sarah Johnson</t>
        </is>
      </c>
      <c r="D422" s="108" t="inlineStr">
        <is>
          <t>North</t>
        </is>
      </c>
      <c r="E422" s="108" t="inlineStr">
        <is>
          <t>Product A</t>
        </is>
      </c>
      <c r="F422" s="108" t="inlineStr">
        <is>
          <t>Enterprise</t>
        </is>
      </c>
      <c r="G422" s="109" t="n">
        <v>41</v>
      </c>
      <c r="H422" s="110" t="n">
        <v>2049959</v>
      </c>
      <c r="I422" s="110" t="n">
        <v>2375644</v>
      </c>
      <c r="J422" s="110" t="n">
        <v>2223629</v>
      </c>
      <c r="K422" s="108" t="inlineStr">
        <is>
          <t>Won</t>
        </is>
      </c>
      <c r="L422" s="138" t="n">
        <v>112</v>
      </c>
      <c r="M422" s="108" t="inlineStr">
        <is>
          <t>Acme Corp</t>
        </is>
      </c>
      <c r="N422" s="108" t="inlineStr">
        <is>
          <t>Enterprise (&gt;$200K)</t>
        </is>
      </c>
      <c r="O422" s="108" t="inlineStr">
        <is>
          <t>Referral</t>
        </is>
      </c>
      <c r="P422" s="110">
        <f>H422*0.08</f>
        <v/>
      </c>
      <c r="Q422" s="137" t="n">
        <v>0.12</v>
      </c>
      <c r="R422" s="108" t="inlineStr">
        <is>
          <t>Q1 deal - Referral channel</t>
        </is>
      </c>
    </row>
    <row r="423" ht="15" customHeight="1" s="77">
      <c r="A423" s="117" t="inlineStr">
        <is>
          <t>2025-06-07</t>
        </is>
      </c>
      <c r="B423" s="117" t="inlineStr">
        <is>
          <t>June</t>
        </is>
      </c>
      <c r="C423" s="117" t="inlineStr">
        <is>
          <t>Mike Chen</t>
        </is>
      </c>
      <c r="D423" s="117" t="inlineStr">
        <is>
          <t>West</t>
        </is>
      </c>
      <c r="E423" s="117" t="inlineStr">
        <is>
          <t>Product B</t>
        </is>
      </c>
      <c r="F423" s="117" t="inlineStr">
        <is>
          <t>SMB</t>
        </is>
      </c>
      <c r="G423" s="118" t="n">
        <v>25</v>
      </c>
      <c r="H423" s="119" t="n">
        <v>124975</v>
      </c>
      <c r="I423" s="119" t="n">
        <v>135724</v>
      </c>
      <c r="J423" s="119" t="n">
        <v>125652</v>
      </c>
      <c r="K423" s="117" t="inlineStr">
        <is>
          <t>Won</t>
        </is>
      </c>
      <c r="L423" s="140" t="n">
        <v>117</v>
      </c>
      <c r="M423" s="117" t="inlineStr">
        <is>
          <t>Beta Inc</t>
        </is>
      </c>
      <c r="N423" s="117" t="inlineStr">
        <is>
          <t>Large ($50K-$200K)</t>
        </is>
      </c>
      <c r="O423" s="117" t="inlineStr">
        <is>
          <t>Cold Call</t>
        </is>
      </c>
      <c r="P423" s="119">
        <f>H423*0.08</f>
        <v/>
      </c>
      <c r="Q423" s="139" t="n">
        <v>0.1</v>
      </c>
      <c r="R423" s="117" t="inlineStr">
        <is>
          <t>Q2 deal - Cold Call channel</t>
        </is>
      </c>
    </row>
    <row r="424" ht="15" customHeight="1" s="77">
      <c r="A424" s="108" t="inlineStr">
        <is>
          <t>2025-05-09</t>
        </is>
      </c>
      <c r="B424" s="108" t="inlineStr">
        <is>
          <t>May</t>
        </is>
      </c>
      <c r="C424" s="108" t="inlineStr">
        <is>
          <t>Priya Sharma</t>
        </is>
      </c>
      <c r="D424" s="108" t="inlineStr">
        <is>
          <t>East</t>
        </is>
      </c>
      <c r="E424" s="108" t="inlineStr">
        <is>
          <t>Product C</t>
        </is>
      </c>
      <c r="F424" s="108" t="inlineStr">
        <is>
          <t>Mid-Market</t>
        </is>
      </c>
      <c r="G424" s="109" t="n">
        <v>37</v>
      </c>
      <c r="H424" s="110" t="n">
        <v>369963</v>
      </c>
      <c r="I424" s="110" t="n">
        <v>374782</v>
      </c>
      <c r="J424" s="110" t="n">
        <v>392546</v>
      </c>
      <c r="K424" s="108" t="inlineStr">
        <is>
          <t>Won</t>
        </is>
      </c>
      <c r="L424" s="138" t="n">
        <v>94</v>
      </c>
      <c r="M424" s="108" t="inlineStr">
        <is>
          <t>Gamma LLC</t>
        </is>
      </c>
      <c r="N424" s="108" t="inlineStr">
        <is>
          <t>Enterprise (&gt;$200K)</t>
        </is>
      </c>
      <c r="O424" s="108" t="inlineStr">
        <is>
          <t>LinkedIn</t>
        </is>
      </c>
      <c r="P424" s="110">
        <f>H424*0.08</f>
        <v/>
      </c>
      <c r="Q424" s="137" t="n">
        <v>0.14</v>
      </c>
      <c r="R424" s="108" t="inlineStr">
        <is>
          <t>Q3 deal - LinkedIn channel</t>
        </is>
      </c>
    </row>
    <row r="425" ht="15" customHeight="1" s="77">
      <c r="A425" s="117" t="inlineStr">
        <is>
          <t>2025-06-10</t>
        </is>
      </c>
      <c r="B425" s="117" t="inlineStr">
        <is>
          <t>June</t>
        </is>
      </c>
      <c r="C425" s="117" t="inlineStr">
        <is>
          <t>James Williams</t>
        </is>
      </c>
      <c r="D425" s="117" t="inlineStr">
        <is>
          <t>South</t>
        </is>
      </c>
      <c r="E425" s="117" t="inlineStr">
        <is>
          <t>Product D</t>
        </is>
      </c>
      <c r="F425" s="117" t="inlineStr">
        <is>
          <t>Startup</t>
        </is>
      </c>
      <c r="G425" s="118" t="n">
        <v>8</v>
      </c>
      <c r="H425" s="119" t="n">
        <v>159992</v>
      </c>
      <c r="I425" s="119" t="n">
        <v>175232</v>
      </c>
      <c r="J425" s="119" t="n">
        <v>138384</v>
      </c>
      <c r="K425" s="117" t="inlineStr">
        <is>
          <t>Lost</t>
        </is>
      </c>
      <c r="L425" s="140" t="n">
        <v>116</v>
      </c>
      <c r="M425" s="117" t="inlineStr">
        <is>
          <t>Delta Ltd</t>
        </is>
      </c>
      <c r="N425" s="117" t="inlineStr">
        <is>
          <t>Large ($50K-$200K)</t>
        </is>
      </c>
      <c r="O425" s="117" t="inlineStr">
        <is>
          <t>Trade Show</t>
        </is>
      </c>
      <c r="P425" s="119">
        <f>H425*0.08</f>
        <v/>
      </c>
      <c r="Q425" s="139" t="n">
        <v>0.08</v>
      </c>
      <c r="R425" s="117" t="inlineStr">
        <is>
          <t>Q4 deal - Trade Show channel</t>
        </is>
      </c>
    </row>
    <row r="426" ht="15" customHeight="1" s="77">
      <c r="A426" s="108" t="inlineStr">
        <is>
          <t>2025-10-08</t>
        </is>
      </c>
      <c r="B426" s="108" t="inlineStr">
        <is>
          <t>October</t>
        </is>
      </c>
      <c r="C426" s="108" t="inlineStr">
        <is>
          <t>Emily Davis</t>
        </is>
      </c>
      <c r="D426" s="108" t="inlineStr">
        <is>
          <t>Central</t>
        </is>
      </c>
      <c r="E426" s="108" t="inlineStr">
        <is>
          <t>Product E</t>
        </is>
      </c>
      <c r="F426" s="108" t="inlineStr">
        <is>
          <t>Government</t>
        </is>
      </c>
      <c r="G426" s="109" t="n">
        <v>5</v>
      </c>
      <c r="H426" s="110" t="n">
        <v>74995</v>
      </c>
      <c r="I426" s="110" t="n">
        <v>87653</v>
      </c>
      <c r="J426" s="110" t="n">
        <v>65321</v>
      </c>
      <c r="K426" s="108" t="inlineStr">
        <is>
          <t>In Progress</t>
        </is>
      </c>
      <c r="L426" s="138" t="n">
        <v>12</v>
      </c>
      <c r="M426" s="108" t="inlineStr">
        <is>
          <t>Epsilon Co</t>
        </is>
      </c>
      <c r="N426" s="108" t="inlineStr">
        <is>
          <t>Large ($50K-$200K)</t>
        </is>
      </c>
      <c r="O426" s="108" t="inlineStr">
        <is>
          <t>Website</t>
        </is>
      </c>
      <c r="P426" s="110">
        <f>H426*0.08</f>
        <v/>
      </c>
      <c r="Q426" s="137" t="n">
        <v>0.09</v>
      </c>
      <c r="R426" s="108" t="inlineStr">
        <is>
          <t>Q1 deal - Website channel</t>
        </is>
      </c>
    </row>
    <row r="427" ht="15" customHeight="1" s="77">
      <c r="A427" s="117" t="inlineStr">
        <is>
          <t>2025-01-11</t>
        </is>
      </c>
      <c r="B427" s="117" t="inlineStr">
        <is>
          <t>January</t>
        </is>
      </c>
      <c r="C427" s="117" t="inlineStr">
        <is>
          <t>Carlos Ruiz</t>
        </is>
      </c>
      <c r="D427" s="117" t="inlineStr">
        <is>
          <t>International</t>
        </is>
      </c>
      <c r="E427" s="117" t="inlineStr">
        <is>
          <t>Product F</t>
        </is>
      </c>
      <c r="F427" s="117" t="inlineStr">
        <is>
          <t>Enterprise</t>
        </is>
      </c>
      <c r="G427" s="118" t="n">
        <v>47</v>
      </c>
      <c r="H427" s="119" t="n">
        <v>234953</v>
      </c>
      <c r="I427" s="119" t="n">
        <v>214695</v>
      </c>
      <c r="J427" s="119" t="n">
        <v>230495</v>
      </c>
      <c r="K427" s="117" t="inlineStr">
        <is>
          <t>In Progress</t>
        </is>
      </c>
      <c r="L427" s="140" t="n">
        <v>98</v>
      </c>
      <c r="M427" s="117" t="inlineStr">
        <is>
          <t>Zeta Corp</t>
        </is>
      </c>
      <c r="N427" s="117" t="inlineStr">
        <is>
          <t>Enterprise (&gt;$200K)</t>
        </is>
      </c>
      <c r="O427" s="117" t="inlineStr">
        <is>
          <t>Partner</t>
        </is>
      </c>
      <c r="P427" s="119">
        <f>H427*0.08</f>
        <v/>
      </c>
      <c r="Q427" s="139" t="n">
        <v>0.06</v>
      </c>
      <c r="R427" s="117" t="inlineStr">
        <is>
          <t>Q2 deal - Partner channel</t>
        </is>
      </c>
    </row>
    <row r="428" ht="15" customHeight="1" s="77">
      <c r="A428" s="108" t="inlineStr">
        <is>
          <t>2025-01-12</t>
        </is>
      </c>
      <c r="B428" s="108" t="inlineStr">
        <is>
          <t>January</t>
        </is>
      </c>
      <c r="C428" s="108" t="inlineStr">
        <is>
          <t>Lisa Park</t>
        </is>
      </c>
      <c r="D428" s="108" t="inlineStr">
        <is>
          <t>North</t>
        </is>
      </c>
      <c r="E428" s="108" t="inlineStr">
        <is>
          <t>Product G</t>
        </is>
      </c>
      <c r="F428" s="108" t="inlineStr">
        <is>
          <t>SMB</t>
        </is>
      </c>
      <c r="G428" s="109" t="n">
        <v>24</v>
      </c>
      <c r="H428" s="110" t="n">
        <v>191976</v>
      </c>
      <c r="I428" s="110" t="n">
        <v>211186</v>
      </c>
      <c r="J428" s="110" t="n">
        <v>192743</v>
      </c>
      <c r="K428" s="108" t="inlineStr">
        <is>
          <t>Won</t>
        </is>
      </c>
      <c r="L428" s="138" t="n">
        <v>82</v>
      </c>
      <c r="M428" s="108" t="inlineStr">
        <is>
          <t>Eta Inc</t>
        </is>
      </c>
      <c r="N428" s="108" t="inlineStr">
        <is>
          <t>Large ($50K-$200K)</t>
        </is>
      </c>
      <c r="O428" s="108" t="inlineStr">
        <is>
          <t>Email Campaign</t>
        </is>
      </c>
      <c r="P428" s="110">
        <f>H428*0.08</f>
        <v/>
      </c>
      <c r="Q428" s="137" t="n">
        <v>0.03</v>
      </c>
      <c r="R428" s="108" t="inlineStr">
        <is>
          <t>Q3 deal - Email Campaign channel</t>
        </is>
      </c>
    </row>
    <row r="429" ht="15" customHeight="1" s="77">
      <c r="A429" s="117" t="inlineStr">
        <is>
          <t>2025-05-18</t>
        </is>
      </c>
      <c r="B429" s="117" t="inlineStr">
        <is>
          <t>May</t>
        </is>
      </c>
      <c r="C429" s="117" t="inlineStr">
        <is>
          <t>Tom Brown</t>
        </is>
      </c>
      <c r="D429" s="117" t="inlineStr">
        <is>
          <t>West</t>
        </is>
      </c>
      <c r="E429" s="117" t="inlineStr">
        <is>
          <t>Product H</t>
        </is>
      </c>
      <c r="F429" s="117" t="inlineStr">
        <is>
          <t>Mid-Market</t>
        </is>
      </c>
      <c r="G429" s="118" t="n">
        <v>39</v>
      </c>
      <c r="H429" s="119" t="n">
        <v>974961</v>
      </c>
      <c r="I429" s="119" t="n">
        <v>1079087</v>
      </c>
      <c r="J429" s="119" t="n">
        <v>895383</v>
      </c>
      <c r="K429" s="117" t="inlineStr">
        <is>
          <t>Won</t>
        </is>
      </c>
      <c r="L429" s="140" t="n">
        <v>40</v>
      </c>
      <c r="M429" s="117" t="inlineStr">
        <is>
          <t>Theta LLC</t>
        </is>
      </c>
      <c r="N429" s="117" t="inlineStr">
        <is>
          <t>Enterprise (&gt;$200K)</t>
        </is>
      </c>
      <c r="O429" s="117" t="inlineStr">
        <is>
          <t>Webinar</t>
        </is>
      </c>
      <c r="P429" s="119">
        <f>H429*0.08</f>
        <v/>
      </c>
      <c r="Q429" s="139" t="n">
        <v>0</v>
      </c>
      <c r="R429" s="117" t="inlineStr">
        <is>
          <t>Q4 deal - Webinar channel</t>
        </is>
      </c>
    </row>
    <row r="430" ht="15" customHeight="1" s="77">
      <c r="A430" s="108" t="inlineStr">
        <is>
          <t>2025-07-21</t>
        </is>
      </c>
      <c r="B430" s="108" t="inlineStr">
        <is>
          <t>July</t>
        </is>
      </c>
      <c r="C430" s="108" t="inlineStr">
        <is>
          <t>Anna Schmidt</t>
        </is>
      </c>
      <c r="D430" s="108" t="inlineStr">
        <is>
          <t>East</t>
        </is>
      </c>
      <c r="E430" s="108" t="inlineStr">
        <is>
          <t>Product I</t>
        </is>
      </c>
      <c r="F430" s="108" t="inlineStr">
        <is>
          <t>Startup</t>
        </is>
      </c>
      <c r="G430" s="109" t="n">
        <v>39</v>
      </c>
      <c r="H430" s="110" t="n">
        <v>1949961</v>
      </c>
      <c r="I430" s="110" t="n">
        <v>1815641</v>
      </c>
      <c r="J430" s="110" t="n">
        <v>1948456</v>
      </c>
      <c r="K430" s="108" t="inlineStr">
        <is>
          <t>Won</t>
        </is>
      </c>
      <c r="L430" s="138" t="n">
        <v>66</v>
      </c>
      <c r="M430" s="108" t="inlineStr">
        <is>
          <t>Iota Ltd</t>
        </is>
      </c>
      <c r="N430" s="108" t="inlineStr">
        <is>
          <t>Enterprise (&gt;$200K)</t>
        </is>
      </c>
      <c r="O430" s="108" t="inlineStr">
        <is>
          <t>SEO</t>
        </is>
      </c>
      <c r="P430" s="110">
        <f>H430*0.08</f>
        <v/>
      </c>
      <c r="Q430" s="137" t="n">
        <v>0.01</v>
      </c>
      <c r="R430" s="108" t="inlineStr">
        <is>
          <t>Q1 deal - SEO channel</t>
        </is>
      </c>
    </row>
    <row r="431" ht="15" customHeight="1" s="77">
      <c r="A431" s="117" t="inlineStr">
        <is>
          <t>2025-06-13</t>
        </is>
      </c>
      <c r="B431" s="117" t="inlineStr">
        <is>
          <t>June</t>
        </is>
      </c>
      <c r="C431" s="117" t="inlineStr">
        <is>
          <t>David Kim</t>
        </is>
      </c>
      <c r="D431" s="117" t="inlineStr">
        <is>
          <t>South</t>
        </is>
      </c>
      <c r="E431" s="117" t="inlineStr">
        <is>
          <t>Product J</t>
        </is>
      </c>
      <c r="F431" s="117" t="inlineStr">
        <is>
          <t>Government</t>
        </is>
      </c>
      <c r="G431" s="118" t="n">
        <v>47</v>
      </c>
      <c r="H431" s="119" t="n">
        <v>234953</v>
      </c>
      <c r="I431" s="119" t="n">
        <v>228509</v>
      </c>
      <c r="J431" s="119" t="n">
        <v>226807</v>
      </c>
      <c r="K431" s="117" t="inlineStr">
        <is>
          <t>Won</t>
        </is>
      </c>
      <c r="L431" s="140" t="n">
        <v>120</v>
      </c>
      <c r="M431" s="117" t="inlineStr">
        <is>
          <t>Kappa Co</t>
        </is>
      </c>
      <c r="N431" s="117" t="inlineStr">
        <is>
          <t>Enterprise (&gt;$200K)</t>
        </is>
      </c>
      <c r="O431" s="117" t="inlineStr">
        <is>
          <t>Direct</t>
        </is>
      </c>
      <c r="P431" s="119">
        <f>H431*0.08</f>
        <v/>
      </c>
      <c r="Q431" s="139" t="n">
        <v>0.12</v>
      </c>
      <c r="R431" s="117" t="inlineStr">
        <is>
          <t>Q2 deal - Direct channel</t>
        </is>
      </c>
    </row>
    <row r="432" ht="15" customHeight="1" s="77">
      <c r="A432" s="108" t="inlineStr">
        <is>
          <t>2025-03-17</t>
        </is>
      </c>
      <c r="B432" s="108" t="inlineStr">
        <is>
          <t>March</t>
        </is>
      </c>
      <c r="C432" s="108" t="inlineStr">
        <is>
          <t>Rachel Green</t>
        </is>
      </c>
      <c r="D432" s="108" t="inlineStr">
        <is>
          <t>Central</t>
        </is>
      </c>
      <c r="E432" s="108" t="inlineStr">
        <is>
          <t>Product A</t>
        </is>
      </c>
      <c r="F432" s="108" t="inlineStr">
        <is>
          <t>Enterprise</t>
        </is>
      </c>
      <c r="G432" s="109" t="n">
        <v>32</v>
      </c>
      <c r="H432" s="110" t="n">
        <v>255968</v>
      </c>
      <c r="I432" s="110" t="n">
        <v>235299</v>
      </c>
      <c r="J432" s="110" t="n">
        <v>251164</v>
      </c>
      <c r="K432" s="108" t="inlineStr">
        <is>
          <t>Lost</t>
        </is>
      </c>
      <c r="L432" s="138" t="n">
        <v>93</v>
      </c>
      <c r="M432" s="108" t="inlineStr">
        <is>
          <t>Lambda Corp</t>
        </is>
      </c>
      <c r="N432" s="108" t="inlineStr">
        <is>
          <t>Enterprise (&gt;$200K)</t>
        </is>
      </c>
      <c r="O432" s="108" t="inlineStr">
        <is>
          <t>Referral</t>
        </is>
      </c>
      <c r="P432" s="110">
        <f>H432*0.08</f>
        <v/>
      </c>
      <c r="Q432" s="137" t="n">
        <v>0.15</v>
      </c>
      <c r="R432" s="108" t="inlineStr">
        <is>
          <t>Q3 deal - Referral channel</t>
        </is>
      </c>
    </row>
    <row r="433" ht="15" customHeight="1" s="77">
      <c r="A433" s="117" t="inlineStr">
        <is>
          <t>2025-11-11</t>
        </is>
      </c>
      <c r="B433" s="117" t="inlineStr">
        <is>
          <t>November</t>
        </is>
      </c>
      <c r="C433" s="117" t="inlineStr">
        <is>
          <t>Mark Thompson</t>
        </is>
      </c>
      <c r="D433" s="117" t="inlineStr">
        <is>
          <t>International</t>
        </is>
      </c>
      <c r="E433" s="117" t="inlineStr">
        <is>
          <t>Product B</t>
        </is>
      </c>
      <c r="F433" s="117" t="inlineStr">
        <is>
          <t>SMB</t>
        </is>
      </c>
      <c r="G433" s="118" t="n">
        <v>28</v>
      </c>
      <c r="H433" s="119" t="n">
        <v>559972</v>
      </c>
      <c r="I433" s="119" t="n">
        <v>547889</v>
      </c>
      <c r="J433" s="119" t="n">
        <v>609742</v>
      </c>
      <c r="K433" s="117" t="inlineStr">
        <is>
          <t>In Progress</t>
        </is>
      </c>
      <c r="L433" s="140" t="n">
        <v>67</v>
      </c>
      <c r="M433" s="117" t="inlineStr">
        <is>
          <t>Mu Inc</t>
        </is>
      </c>
      <c r="N433" s="117" t="inlineStr">
        <is>
          <t>Enterprise (&gt;$200K)</t>
        </is>
      </c>
      <c r="O433" s="117" t="inlineStr">
        <is>
          <t>Cold Call</t>
        </is>
      </c>
      <c r="P433" s="119">
        <f>H433*0.08</f>
        <v/>
      </c>
      <c r="Q433" s="139" t="n">
        <v>0.1</v>
      </c>
      <c r="R433" s="117" t="inlineStr">
        <is>
          <t>Q4 deal - Cold Call channel</t>
        </is>
      </c>
    </row>
    <row r="434" ht="15" customHeight="1" s="77">
      <c r="A434" s="108" t="inlineStr">
        <is>
          <t>2025-06-20</t>
        </is>
      </c>
      <c r="B434" s="108" t="inlineStr">
        <is>
          <t>June</t>
        </is>
      </c>
      <c r="C434" s="108" t="inlineStr">
        <is>
          <t>Susan Lee</t>
        </is>
      </c>
      <c r="D434" s="108" t="inlineStr">
        <is>
          <t>North</t>
        </is>
      </c>
      <c r="E434" s="108" t="inlineStr">
        <is>
          <t>Product C</t>
        </is>
      </c>
      <c r="F434" s="108" t="inlineStr">
        <is>
          <t>Mid-Market</t>
        </is>
      </c>
      <c r="G434" s="109" t="n">
        <v>44</v>
      </c>
      <c r="H434" s="110" t="n">
        <v>879956</v>
      </c>
      <c r="I434" s="110" t="n">
        <v>904851</v>
      </c>
      <c r="J434" s="110" t="n">
        <v>883277</v>
      </c>
      <c r="K434" s="108" t="inlineStr">
        <is>
          <t>In Progress</t>
        </is>
      </c>
      <c r="L434" s="138" t="n">
        <v>78</v>
      </c>
      <c r="M434" s="108" t="inlineStr">
        <is>
          <t>Nu LLC</t>
        </is>
      </c>
      <c r="N434" s="108" t="inlineStr">
        <is>
          <t>Enterprise (&gt;$200K)</t>
        </is>
      </c>
      <c r="O434" s="108" t="inlineStr">
        <is>
          <t>LinkedIn</t>
        </is>
      </c>
      <c r="P434" s="110">
        <f>H434*0.08</f>
        <v/>
      </c>
      <c r="Q434" s="137" t="n">
        <v>0.13</v>
      </c>
      <c r="R434" s="108" t="inlineStr">
        <is>
          <t>Q1 deal - LinkedIn channel</t>
        </is>
      </c>
    </row>
    <row r="435" ht="15" customHeight="1" s="77">
      <c r="A435" s="117" t="inlineStr">
        <is>
          <t>2025-07-18</t>
        </is>
      </c>
      <c r="B435" s="117" t="inlineStr">
        <is>
          <t>July</t>
        </is>
      </c>
      <c r="C435" s="117" t="inlineStr">
        <is>
          <t>Kevin Martin</t>
        </is>
      </c>
      <c r="D435" s="117" t="inlineStr">
        <is>
          <t>West</t>
        </is>
      </c>
      <c r="E435" s="117" t="inlineStr">
        <is>
          <t>Product D</t>
        </is>
      </c>
      <c r="F435" s="117" t="inlineStr">
        <is>
          <t>Startup</t>
        </is>
      </c>
      <c r="G435" s="118" t="n">
        <v>40</v>
      </c>
      <c r="H435" s="119" t="n">
        <v>999960</v>
      </c>
      <c r="I435" s="119" t="n">
        <v>1094819</v>
      </c>
      <c r="J435" s="119" t="n">
        <v>880148</v>
      </c>
      <c r="K435" s="117" t="inlineStr">
        <is>
          <t>Won</t>
        </is>
      </c>
      <c r="L435" s="140" t="n">
        <v>33</v>
      </c>
      <c r="M435" s="117" t="inlineStr">
        <is>
          <t>Xi Ltd</t>
        </is>
      </c>
      <c r="N435" s="117" t="inlineStr">
        <is>
          <t>Enterprise (&gt;$200K)</t>
        </is>
      </c>
      <c r="O435" s="117" t="inlineStr">
        <is>
          <t>Trade Show</t>
        </is>
      </c>
      <c r="P435" s="119">
        <f>H435*0.08</f>
        <v/>
      </c>
      <c r="Q435" s="139" t="n">
        <v>0.11</v>
      </c>
      <c r="R435" s="117" t="inlineStr">
        <is>
          <t>Q2 deal - Trade Show channel</t>
        </is>
      </c>
    </row>
    <row r="436" ht="15" customHeight="1" s="77">
      <c r="A436" s="108" t="inlineStr">
        <is>
          <t>2025-10-02</t>
        </is>
      </c>
      <c r="B436" s="108" t="inlineStr">
        <is>
          <t>October</t>
        </is>
      </c>
      <c r="C436" s="108" t="inlineStr">
        <is>
          <t>Nina Patel</t>
        </is>
      </c>
      <c r="D436" s="108" t="inlineStr">
        <is>
          <t>East</t>
        </is>
      </c>
      <c r="E436" s="108" t="inlineStr">
        <is>
          <t>Product E</t>
        </is>
      </c>
      <c r="F436" s="108" t="inlineStr">
        <is>
          <t>Government</t>
        </is>
      </c>
      <c r="G436" s="109" t="n">
        <v>7</v>
      </c>
      <c r="H436" s="110" t="n">
        <v>34993</v>
      </c>
      <c r="I436" s="110" t="n">
        <v>41258</v>
      </c>
      <c r="J436" s="110" t="n">
        <v>35868</v>
      </c>
      <c r="K436" s="108" t="inlineStr">
        <is>
          <t>Won</t>
        </is>
      </c>
      <c r="L436" s="138" t="n">
        <v>15</v>
      </c>
      <c r="M436" s="108" t="inlineStr">
        <is>
          <t>Pi Co</t>
        </is>
      </c>
      <c r="N436" s="108" t="inlineStr">
        <is>
          <t>Medium ($10K-$50K)</t>
        </is>
      </c>
      <c r="O436" s="108" t="inlineStr">
        <is>
          <t>Website</t>
        </is>
      </c>
      <c r="P436" s="110">
        <f>H436*0.08</f>
        <v/>
      </c>
      <c r="Q436" s="137" t="n">
        <v>0.01</v>
      </c>
      <c r="R436" s="108" t="inlineStr">
        <is>
          <t>Q3 deal - Website channel</t>
        </is>
      </c>
    </row>
    <row r="437" ht="15" customHeight="1" s="77">
      <c r="A437" s="117" t="inlineStr">
        <is>
          <t>2025-12-28</t>
        </is>
      </c>
      <c r="B437" s="117" t="inlineStr">
        <is>
          <t>December</t>
        </is>
      </c>
      <c r="C437" s="117" t="inlineStr">
        <is>
          <t>Chris Wilson</t>
        </is>
      </c>
      <c r="D437" s="117" t="inlineStr">
        <is>
          <t>South</t>
        </is>
      </c>
      <c r="E437" s="117" t="inlineStr">
        <is>
          <t>Product F</t>
        </is>
      </c>
      <c r="F437" s="117" t="inlineStr">
        <is>
          <t>Enterprise</t>
        </is>
      </c>
      <c r="G437" s="118" t="n">
        <v>31</v>
      </c>
      <c r="H437" s="119" t="n">
        <v>247969</v>
      </c>
      <c r="I437" s="119" t="n">
        <v>273579</v>
      </c>
      <c r="J437" s="119" t="n">
        <v>220154</v>
      </c>
      <c r="K437" s="117" t="inlineStr">
        <is>
          <t>Won</t>
        </is>
      </c>
      <c r="L437" s="140" t="n">
        <v>31</v>
      </c>
      <c r="M437" s="117" t="inlineStr">
        <is>
          <t>Rho Corp</t>
        </is>
      </c>
      <c r="N437" s="117" t="inlineStr">
        <is>
          <t>Enterprise (&gt;$200K)</t>
        </is>
      </c>
      <c r="O437" s="117" t="inlineStr">
        <is>
          <t>Partner</t>
        </is>
      </c>
      <c r="P437" s="119">
        <f>H437*0.08</f>
        <v/>
      </c>
      <c r="Q437" s="139" t="n">
        <v>0.11</v>
      </c>
      <c r="R437" s="117" t="inlineStr">
        <is>
          <t>Q4 deal - Partner channel</t>
        </is>
      </c>
    </row>
    <row r="438" ht="15" customHeight="1" s="77">
      <c r="A438" s="108" t="inlineStr">
        <is>
          <t>2025-12-30</t>
        </is>
      </c>
      <c r="B438" s="108" t="inlineStr">
        <is>
          <t>December</t>
        </is>
      </c>
      <c r="C438" s="108" t="inlineStr">
        <is>
          <t>Amanda Foster</t>
        </is>
      </c>
      <c r="D438" s="108" t="inlineStr">
        <is>
          <t>Central</t>
        </is>
      </c>
      <c r="E438" s="108" t="inlineStr">
        <is>
          <t>Product G</t>
        </is>
      </c>
      <c r="F438" s="108" t="inlineStr">
        <is>
          <t>SMB</t>
        </is>
      </c>
      <c r="G438" s="109" t="n">
        <v>26</v>
      </c>
      <c r="H438" s="110" t="n">
        <v>779974</v>
      </c>
      <c r="I438" s="110" t="n">
        <v>721150</v>
      </c>
      <c r="J438" s="110" t="n">
        <v>768519</v>
      </c>
      <c r="K438" s="108" t="inlineStr">
        <is>
          <t>Won</t>
        </is>
      </c>
      <c r="L438" s="138" t="n">
        <v>102</v>
      </c>
      <c r="M438" s="108" t="inlineStr">
        <is>
          <t>Sigma Inc</t>
        </is>
      </c>
      <c r="N438" s="108" t="inlineStr">
        <is>
          <t>Enterprise (&gt;$200K)</t>
        </is>
      </c>
      <c r="O438" s="108" t="inlineStr">
        <is>
          <t>Email Campaign</t>
        </is>
      </c>
      <c r="P438" s="110">
        <f>H438*0.08</f>
        <v/>
      </c>
      <c r="Q438" s="137" t="n">
        <v>0.1</v>
      </c>
      <c r="R438" s="108" t="inlineStr">
        <is>
          <t>Q1 deal - Email Campaign channel</t>
        </is>
      </c>
    </row>
    <row r="439" ht="15" customHeight="1" s="77">
      <c r="A439" s="117" t="inlineStr">
        <is>
          <t>2025-06-12</t>
        </is>
      </c>
      <c r="B439" s="117" t="inlineStr">
        <is>
          <t>June</t>
        </is>
      </c>
      <c r="C439" s="117" t="inlineStr">
        <is>
          <t>Robert Taylor</t>
        </is>
      </c>
      <c r="D439" s="117" t="inlineStr">
        <is>
          <t>International</t>
        </is>
      </c>
      <c r="E439" s="117" t="inlineStr">
        <is>
          <t>Product H</t>
        </is>
      </c>
      <c r="F439" s="117" t="inlineStr">
        <is>
          <t>Mid-Market</t>
        </is>
      </c>
      <c r="G439" s="118" t="n">
        <v>32</v>
      </c>
      <c r="H439" s="119" t="n">
        <v>255968</v>
      </c>
      <c r="I439" s="119" t="n">
        <v>290657</v>
      </c>
      <c r="J439" s="119" t="n">
        <v>259279</v>
      </c>
      <c r="K439" s="117" t="inlineStr">
        <is>
          <t>Lost</t>
        </is>
      </c>
      <c r="L439" s="140" t="n">
        <v>97</v>
      </c>
      <c r="M439" s="117" t="inlineStr">
        <is>
          <t>Tau LLC</t>
        </is>
      </c>
      <c r="N439" s="117" t="inlineStr">
        <is>
          <t>Enterprise (&gt;$200K)</t>
        </is>
      </c>
      <c r="O439" s="117" t="inlineStr">
        <is>
          <t>Webinar</t>
        </is>
      </c>
      <c r="P439" s="119">
        <f>H439*0.08</f>
        <v/>
      </c>
      <c r="Q439" s="139" t="n">
        <v>0.03</v>
      </c>
      <c r="R439" s="117" t="inlineStr">
        <is>
          <t>Q2 deal - Webinar channel</t>
        </is>
      </c>
    </row>
    <row r="440" ht="15" customHeight="1" s="77">
      <c r="A440" s="108" t="inlineStr">
        <is>
          <t>2025-01-05</t>
        </is>
      </c>
      <c r="B440" s="108" t="inlineStr">
        <is>
          <t>January</t>
        </is>
      </c>
      <c r="C440" s="108" t="inlineStr">
        <is>
          <t>Jennifer Moore</t>
        </is>
      </c>
      <c r="D440" s="108" t="inlineStr">
        <is>
          <t>North</t>
        </is>
      </c>
      <c r="E440" s="108" t="inlineStr">
        <is>
          <t>Product I</t>
        </is>
      </c>
      <c r="F440" s="108" t="inlineStr">
        <is>
          <t>Startup</t>
        </is>
      </c>
      <c r="G440" s="109" t="n">
        <v>45</v>
      </c>
      <c r="H440" s="110" t="n">
        <v>2249955</v>
      </c>
      <c r="I440" s="110" t="n">
        <v>2339416</v>
      </c>
      <c r="J440" s="110" t="n">
        <v>2017724</v>
      </c>
      <c r="K440" s="108" t="inlineStr">
        <is>
          <t>In Progress</t>
        </is>
      </c>
      <c r="L440" s="138" t="n">
        <v>43</v>
      </c>
      <c r="M440" s="108" t="inlineStr">
        <is>
          <t>Upsilon Ltd</t>
        </is>
      </c>
      <c r="N440" s="108" t="inlineStr">
        <is>
          <t>Enterprise (&gt;$200K)</t>
        </is>
      </c>
      <c r="O440" s="108" t="inlineStr">
        <is>
          <t>SEO</t>
        </is>
      </c>
      <c r="P440" s="110">
        <f>H440*0.08</f>
        <v/>
      </c>
      <c r="Q440" s="137" t="n">
        <v>0.14</v>
      </c>
      <c r="R440" s="108" t="inlineStr">
        <is>
          <t>Q3 deal - SEO channel</t>
        </is>
      </c>
    </row>
    <row r="441" ht="15" customHeight="1" s="77">
      <c r="A441" s="117" t="inlineStr">
        <is>
          <t>2025-02-13</t>
        </is>
      </c>
      <c r="B441" s="117" t="inlineStr">
        <is>
          <t>February</t>
        </is>
      </c>
      <c r="C441" s="117" t="inlineStr">
        <is>
          <t>Daniel Jackson</t>
        </is>
      </c>
      <c r="D441" s="117" t="inlineStr">
        <is>
          <t>West</t>
        </is>
      </c>
      <c r="E441" s="117" t="inlineStr">
        <is>
          <t>Product J</t>
        </is>
      </c>
      <c r="F441" s="117" t="inlineStr">
        <is>
          <t>Government</t>
        </is>
      </c>
      <c r="G441" s="118" t="n">
        <v>29</v>
      </c>
      <c r="H441" s="119" t="n">
        <v>434971</v>
      </c>
      <c r="I441" s="119" t="n">
        <v>453788</v>
      </c>
      <c r="J441" s="119" t="n">
        <v>472550</v>
      </c>
      <c r="K441" s="117" t="inlineStr">
        <is>
          <t>In Progress</t>
        </is>
      </c>
      <c r="L441" s="140" t="n">
        <v>98</v>
      </c>
      <c r="M441" s="117" t="inlineStr">
        <is>
          <t>Phi Co</t>
        </is>
      </c>
      <c r="N441" s="117" t="inlineStr">
        <is>
          <t>Enterprise (&gt;$200K)</t>
        </is>
      </c>
      <c r="O441" s="117" t="inlineStr">
        <is>
          <t>Direct</t>
        </is>
      </c>
      <c r="P441" s="119">
        <f>H441*0.08</f>
        <v/>
      </c>
      <c r="Q441" s="139" t="n">
        <v>0.1</v>
      </c>
      <c r="R441" s="117" t="inlineStr">
        <is>
          <t>Q4 deal - Direct channel</t>
        </is>
      </c>
    </row>
    <row r="442" ht="15" customHeight="1" s="77">
      <c r="A442" s="108" t="inlineStr">
        <is>
          <t>2025-08-30</t>
        </is>
      </c>
      <c r="B442" s="108" t="inlineStr">
        <is>
          <t>August</t>
        </is>
      </c>
      <c r="C442" s="108" t="inlineStr">
        <is>
          <t>Sarah Johnson</t>
        </is>
      </c>
      <c r="D442" s="108" t="inlineStr">
        <is>
          <t>North</t>
        </is>
      </c>
      <c r="E442" s="108" t="inlineStr">
        <is>
          <t>Product A</t>
        </is>
      </c>
      <c r="F442" s="108" t="inlineStr">
        <is>
          <t>Enterprise</t>
        </is>
      </c>
      <c r="G442" s="109" t="n">
        <v>23</v>
      </c>
      <c r="H442" s="110" t="n">
        <v>574977</v>
      </c>
      <c r="I442" s="110" t="n">
        <v>603870</v>
      </c>
      <c r="J442" s="110" t="n">
        <v>506670</v>
      </c>
      <c r="K442" s="108" t="inlineStr">
        <is>
          <t>Won</t>
        </is>
      </c>
      <c r="L442" s="138" t="n">
        <v>86</v>
      </c>
      <c r="M442" s="108" t="inlineStr">
        <is>
          <t>Acme Corp</t>
        </is>
      </c>
      <c r="N442" s="108" t="inlineStr">
        <is>
          <t>Enterprise (&gt;$200K)</t>
        </is>
      </c>
      <c r="O442" s="108" t="inlineStr">
        <is>
          <t>Referral</t>
        </is>
      </c>
      <c r="P442" s="110">
        <f>H442*0.08</f>
        <v/>
      </c>
      <c r="Q442" s="137" t="n">
        <v>0.07000000000000001</v>
      </c>
      <c r="R442" s="108" t="inlineStr">
        <is>
          <t>Q1 deal - Referral channel</t>
        </is>
      </c>
    </row>
    <row r="443" ht="15" customHeight="1" s="77">
      <c r="A443" s="117" t="inlineStr">
        <is>
          <t>2025-03-12</t>
        </is>
      </c>
      <c r="B443" s="117" t="inlineStr">
        <is>
          <t>March</t>
        </is>
      </c>
      <c r="C443" s="117" t="inlineStr">
        <is>
          <t>Mike Chen</t>
        </is>
      </c>
      <c r="D443" s="117" t="inlineStr">
        <is>
          <t>West</t>
        </is>
      </c>
      <c r="E443" s="117" t="inlineStr">
        <is>
          <t>Product B</t>
        </is>
      </c>
      <c r="F443" s="117" t="inlineStr">
        <is>
          <t>SMB</t>
        </is>
      </c>
      <c r="G443" s="118" t="n">
        <v>11</v>
      </c>
      <c r="H443" s="119" t="n">
        <v>274989</v>
      </c>
      <c r="I443" s="119" t="n">
        <v>258834</v>
      </c>
      <c r="J443" s="119" t="n">
        <v>253021</v>
      </c>
      <c r="K443" s="117" t="inlineStr">
        <is>
          <t>Won</t>
        </is>
      </c>
      <c r="L443" s="140" t="n">
        <v>14</v>
      </c>
      <c r="M443" s="117" t="inlineStr">
        <is>
          <t>Beta Inc</t>
        </is>
      </c>
      <c r="N443" s="117" t="inlineStr">
        <is>
          <t>Enterprise (&gt;$200K)</t>
        </is>
      </c>
      <c r="O443" s="117" t="inlineStr">
        <is>
          <t>Cold Call</t>
        </is>
      </c>
      <c r="P443" s="119">
        <f>H443*0.08</f>
        <v/>
      </c>
      <c r="Q443" s="139" t="n">
        <v>0.04</v>
      </c>
      <c r="R443" s="117" t="inlineStr">
        <is>
          <t>Q2 deal - Cold Call channel</t>
        </is>
      </c>
    </row>
    <row r="444" ht="15" customHeight="1" s="77">
      <c r="A444" s="108" t="inlineStr">
        <is>
          <t>2025-05-14</t>
        </is>
      </c>
      <c r="B444" s="108" t="inlineStr">
        <is>
          <t>May</t>
        </is>
      </c>
      <c r="C444" s="108" t="inlineStr">
        <is>
          <t>Priya Sharma</t>
        </is>
      </c>
      <c r="D444" s="108" t="inlineStr">
        <is>
          <t>East</t>
        </is>
      </c>
      <c r="E444" s="108" t="inlineStr">
        <is>
          <t>Product C</t>
        </is>
      </c>
      <c r="F444" s="108" t="inlineStr">
        <is>
          <t>Mid-Market</t>
        </is>
      </c>
      <c r="G444" s="109" t="n">
        <v>9</v>
      </c>
      <c r="H444" s="110" t="n">
        <v>71991</v>
      </c>
      <c r="I444" s="110" t="n">
        <v>66737</v>
      </c>
      <c r="J444" s="110" t="n">
        <v>67324</v>
      </c>
      <c r="K444" s="108" t="inlineStr">
        <is>
          <t>Won</t>
        </is>
      </c>
      <c r="L444" s="138" t="n">
        <v>41</v>
      </c>
      <c r="M444" s="108" t="inlineStr">
        <is>
          <t>Gamma LLC</t>
        </is>
      </c>
      <c r="N444" s="108" t="inlineStr">
        <is>
          <t>Large ($50K-$200K)</t>
        </is>
      </c>
      <c r="O444" s="108" t="inlineStr">
        <is>
          <t>LinkedIn</t>
        </is>
      </c>
      <c r="P444" s="110">
        <f>H444*0.08</f>
        <v/>
      </c>
      <c r="Q444" s="137" t="n">
        <v>0.02</v>
      </c>
      <c r="R444" s="108" t="inlineStr">
        <is>
          <t>Q3 deal - LinkedIn channel</t>
        </is>
      </c>
    </row>
    <row r="445" ht="15" customHeight="1" s="77">
      <c r="A445" s="117" t="inlineStr">
        <is>
          <t>2025-05-10</t>
        </is>
      </c>
      <c r="B445" s="117" t="inlineStr">
        <is>
          <t>May</t>
        </is>
      </c>
      <c r="C445" s="117" t="inlineStr">
        <is>
          <t>James Williams</t>
        </is>
      </c>
      <c r="D445" s="117" t="inlineStr">
        <is>
          <t>South</t>
        </is>
      </c>
      <c r="E445" s="117" t="inlineStr">
        <is>
          <t>Product D</t>
        </is>
      </c>
      <c r="F445" s="117" t="inlineStr">
        <is>
          <t>Startup</t>
        </is>
      </c>
      <c r="G445" s="118" t="n">
        <v>35</v>
      </c>
      <c r="H445" s="119" t="n">
        <v>699965</v>
      </c>
      <c r="I445" s="119" t="n">
        <v>780614</v>
      </c>
      <c r="J445" s="119" t="n">
        <v>690408</v>
      </c>
      <c r="K445" s="117" t="inlineStr">
        <is>
          <t>Won</t>
        </is>
      </c>
      <c r="L445" s="140" t="n">
        <v>13</v>
      </c>
      <c r="M445" s="117" t="inlineStr">
        <is>
          <t>Delta Ltd</t>
        </is>
      </c>
      <c r="N445" s="117" t="inlineStr">
        <is>
          <t>Enterprise (&gt;$200K)</t>
        </is>
      </c>
      <c r="O445" s="117" t="inlineStr">
        <is>
          <t>Trade Show</t>
        </is>
      </c>
      <c r="P445" s="119">
        <f>H445*0.08</f>
        <v/>
      </c>
      <c r="Q445" s="139" t="n">
        <v>0.06</v>
      </c>
      <c r="R445" s="117" t="inlineStr">
        <is>
          <t>Q4 deal - Trade Show channel</t>
        </is>
      </c>
    </row>
    <row r="446" ht="15" customHeight="1" s="77">
      <c r="A446" s="108" t="inlineStr">
        <is>
          <t>2025-10-20</t>
        </is>
      </c>
      <c r="B446" s="108" t="inlineStr">
        <is>
          <t>October</t>
        </is>
      </c>
      <c r="C446" s="108" t="inlineStr">
        <is>
          <t>Emily Davis</t>
        </is>
      </c>
      <c r="D446" s="108" t="inlineStr">
        <is>
          <t>Central</t>
        </is>
      </c>
      <c r="E446" s="108" t="inlineStr">
        <is>
          <t>Product E</t>
        </is>
      </c>
      <c r="F446" s="108" t="inlineStr">
        <is>
          <t>Government</t>
        </is>
      </c>
      <c r="G446" s="109" t="n">
        <v>28</v>
      </c>
      <c r="H446" s="110" t="n">
        <v>559972</v>
      </c>
      <c r="I446" s="110" t="n">
        <v>539878</v>
      </c>
      <c r="J446" s="110" t="n">
        <v>504735</v>
      </c>
      <c r="K446" s="108" t="inlineStr">
        <is>
          <t>Lost</t>
        </is>
      </c>
      <c r="L446" s="138" t="n">
        <v>83</v>
      </c>
      <c r="M446" s="108" t="inlineStr">
        <is>
          <t>Epsilon Co</t>
        </is>
      </c>
      <c r="N446" s="108" t="inlineStr">
        <is>
          <t>Enterprise (&gt;$200K)</t>
        </is>
      </c>
      <c r="O446" s="108" t="inlineStr">
        <is>
          <t>Website</t>
        </is>
      </c>
      <c r="P446" s="110">
        <f>H446*0.08</f>
        <v/>
      </c>
      <c r="Q446" s="137" t="n">
        <v>0.08</v>
      </c>
      <c r="R446" s="108" t="inlineStr">
        <is>
          <t>Q1 deal - Website channel</t>
        </is>
      </c>
    </row>
    <row r="447" ht="15" customHeight="1" s="77">
      <c r="A447" s="117" t="inlineStr">
        <is>
          <t>2025-12-21</t>
        </is>
      </c>
      <c r="B447" s="117" t="inlineStr">
        <is>
          <t>December</t>
        </is>
      </c>
      <c r="C447" s="117" t="inlineStr">
        <is>
          <t>Carlos Ruiz</t>
        </is>
      </c>
      <c r="D447" s="117" t="inlineStr">
        <is>
          <t>International</t>
        </is>
      </c>
      <c r="E447" s="117" t="inlineStr">
        <is>
          <t>Product F</t>
        </is>
      </c>
      <c r="F447" s="117" t="inlineStr">
        <is>
          <t>Enterprise</t>
        </is>
      </c>
      <c r="G447" s="118" t="n">
        <v>6</v>
      </c>
      <c r="H447" s="119" t="n">
        <v>179994</v>
      </c>
      <c r="I447" s="119" t="n">
        <v>183112</v>
      </c>
      <c r="J447" s="119" t="n">
        <v>185117</v>
      </c>
      <c r="K447" s="117" t="inlineStr">
        <is>
          <t>In Progress</t>
        </is>
      </c>
      <c r="L447" s="140" t="n">
        <v>14</v>
      </c>
      <c r="M447" s="117" t="inlineStr">
        <is>
          <t>Zeta Corp</t>
        </is>
      </c>
      <c r="N447" s="117" t="inlineStr">
        <is>
          <t>Large ($50K-$200K)</t>
        </is>
      </c>
      <c r="O447" s="117" t="inlineStr">
        <is>
          <t>Partner</t>
        </is>
      </c>
      <c r="P447" s="119">
        <f>H447*0.08</f>
        <v/>
      </c>
      <c r="Q447" s="139" t="n">
        <v>0.06</v>
      </c>
      <c r="R447" s="117" t="inlineStr">
        <is>
          <t>Q2 deal - Partner channel</t>
        </is>
      </c>
    </row>
    <row r="448" ht="15" customHeight="1" s="77">
      <c r="A448" s="108" t="inlineStr">
        <is>
          <t>2025-06-30</t>
        </is>
      </c>
      <c r="B448" s="108" t="inlineStr">
        <is>
          <t>June</t>
        </is>
      </c>
      <c r="C448" s="108" t="inlineStr">
        <is>
          <t>Lisa Park</t>
        </is>
      </c>
      <c r="D448" s="108" t="inlineStr">
        <is>
          <t>North</t>
        </is>
      </c>
      <c r="E448" s="108" t="inlineStr">
        <is>
          <t>Product G</t>
        </is>
      </c>
      <c r="F448" s="108" t="inlineStr">
        <is>
          <t>SMB</t>
        </is>
      </c>
      <c r="G448" s="109" t="n">
        <v>22</v>
      </c>
      <c r="H448" s="110" t="n">
        <v>219978</v>
      </c>
      <c r="I448" s="110" t="n">
        <v>199586</v>
      </c>
      <c r="J448" s="110" t="n">
        <v>239333</v>
      </c>
      <c r="K448" s="108" t="inlineStr">
        <is>
          <t>In Progress</t>
        </is>
      </c>
      <c r="L448" s="138" t="n">
        <v>97</v>
      </c>
      <c r="M448" s="108" t="inlineStr">
        <is>
          <t>Eta Inc</t>
        </is>
      </c>
      <c r="N448" s="108" t="inlineStr">
        <is>
          <t>Enterprise (&gt;$200K)</t>
        </is>
      </c>
      <c r="O448" s="108" t="inlineStr">
        <is>
          <t>Email Campaign</t>
        </is>
      </c>
      <c r="P448" s="110">
        <f>H448*0.08</f>
        <v/>
      </c>
      <c r="Q448" s="137" t="n">
        <v>0.13</v>
      </c>
      <c r="R448" s="108" t="inlineStr">
        <is>
          <t>Q3 deal - Email Campaign channel</t>
        </is>
      </c>
    </row>
    <row r="449" ht="15" customHeight="1" s="77">
      <c r="A449" s="117" t="inlineStr">
        <is>
          <t>2025-01-01</t>
        </is>
      </c>
      <c r="B449" s="117" t="inlineStr">
        <is>
          <t>January</t>
        </is>
      </c>
      <c r="C449" s="117" t="inlineStr">
        <is>
          <t>Tom Brown</t>
        </is>
      </c>
      <c r="D449" s="117" t="inlineStr">
        <is>
          <t>West</t>
        </is>
      </c>
      <c r="E449" s="117" t="inlineStr">
        <is>
          <t>Product H</t>
        </is>
      </c>
      <c r="F449" s="117" t="inlineStr">
        <is>
          <t>Mid-Market</t>
        </is>
      </c>
      <c r="G449" s="118" t="n">
        <v>20</v>
      </c>
      <c r="H449" s="119" t="n">
        <v>399980</v>
      </c>
      <c r="I449" s="119" t="n">
        <v>399777</v>
      </c>
      <c r="J449" s="119" t="n">
        <v>394708</v>
      </c>
      <c r="K449" s="117" t="inlineStr">
        <is>
          <t>Won</t>
        </is>
      </c>
      <c r="L449" s="140" t="n">
        <v>75</v>
      </c>
      <c r="M449" s="117" t="inlineStr">
        <is>
          <t>Theta LLC</t>
        </is>
      </c>
      <c r="N449" s="117" t="inlineStr">
        <is>
          <t>Enterprise (&gt;$200K)</t>
        </is>
      </c>
      <c r="O449" s="117" t="inlineStr">
        <is>
          <t>Webinar</t>
        </is>
      </c>
      <c r="P449" s="119">
        <f>H449*0.08</f>
        <v/>
      </c>
      <c r="Q449" s="139" t="n">
        <v>0.11</v>
      </c>
      <c r="R449" s="117" t="inlineStr">
        <is>
          <t>Q4 deal - Webinar channel</t>
        </is>
      </c>
    </row>
    <row r="450" ht="15" customHeight="1" s="77">
      <c r="A450" s="108" t="inlineStr">
        <is>
          <t>2025-02-19</t>
        </is>
      </c>
      <c r="B450" s="108" t="inlineStr">
        <is>
          <t>February</t>
        </is>
      </c>
      <c r="C450" s="108" t="inlineStr">
        <is>
          <t>Anna Schmidt</t>
        </is>
      </c>
      <c r="D450" s="108" t="inlineStr">
        <is>
          <t>East</t>
        </is>
      </c>
      <c r="E450" s="108" t="inlineStr">
        <is>
          <t>Product I</t>
        </is>
      </c>
      <c r="F450" s="108" t="inlineStr">
        <is>
          <t>Startup</t>
        </is>
      </c>
      <c r="G450" s="109" t="n">
        <v>47</v>
      </c>
      <c r="H450" s="110" t="n">
        <v>939953</v>
      </c>
      <c r="I450" s="110" t="n">
        <v>954232</v>
      </c>
      <c r="J450" s="110" t="n">
        <v>868744</v>
      </c>
      <c r="K450" s="108" t="inlineStr">
        <is>
          <t>Won</t>
        </is>
      </c>
      <c r="L450" s="138" t="n">
        <v>79</v>
      </c>
      <c r="M450" s="108" t="inlineStr">
        <is>
          <t>Iota Ltd</t>
        </is>
      </c>
      <c r="N450" s="108" t="inlineStr">
        <is>
          <t>Enterprise (&gt;$200K)</t>
        </is>
      </c>
      <c r="O450" s="108" t="inlineStr">
        <is>
          <t>SEO</t>
        </is>
      </c>
      <c r="P450" s="110">
        <f>H450*0.08</f>
        <v/>
      </c>
      <c r="Q450" s="137" t="n">
        <v>0.09</v>
      </c>
      <c r="R450" s="108" t="inlineStr">
        <is>
          <t>Q1 deal - SEO channel</t>
        </is>
      </c>
    </row>
    <row r="451" ht="15" customHeight="1" s="77">
      <c r="A451" s="117" t="inlineStr">
        <is>
          <t>2025-04-24</t>
        </is>
      </c>
      <c r="B451" s="117" t="inlineStr">
        <is>
          <t>April</t>
        </is>
      </c>
      <c r="C451" s="117" t="inlineStr">
        <is>
          <t>David Kim</t>
        </is>
      </c>
      <c r="D451" s="117" t="inlineStr">
        <is>
          <t>South</t>
        </is>
      </c>
      <c r="E451" s="117" t="inlineStr">
        <is>
          <t>Product J</t>
        </is>
      </c>
      <c r="F451" s="117" t="inlineStr">
        <is>
          <t>Government</t>
        </is>
      </c>
      <c r="G451" s="118" t="n">
        <v>35</v>
      </c>
      <c r="H451" s="119" t="n">
        <v>349965</v>
      </c>
      <c r="I451" s="119" t="n">
        <v>363018</v>
      </c>
      <c r="J451" s="119" t="n">
        <v>384510</v>
      </c>
      <c r="K451" s="117" t="inlineStr">
        <is>
          <t>Won</t>
        </is>
      </c>
      <c r="L451" s="140" t="n">
        <v>91</v>
      </c>
      <c r="M451" s="117" t="inlineStr">
        <is>
          <t>Kappa Co</t>
        </is>
      </c>
      <c r="N451" s="117" t="inlineStr">
        <is>
          <t>Enterprise (&gt;$200K)</t>
        </is>
      </c>
      <c r="O451" s="117" t="inlineStr">
        <is>
          <t>Direct</t>
        </is>
      </c>
      <c r="P451" s="119">
        <f>H451*0.08</f>
        <v/>
      </c>
      <c r="Q451" s="139" t="n">
        <v>0.15</v>
      </c>
      <c r="R451" s="117" t="inlineStr">
        <is>
          <t>Q2 deal - Direct channel</t>
        </is>
      </c>
    </row>
    <row r="452" ht="15" customHeight="1" s="77">
      <c r="A452" s="108" t="inlineStr">
        <is>
          <t>2025-09-24</t>
        </is>
      </c>
      <c r="B452" s="108" t="inlineStr">
        <is>
          <t>September</t>
        </is>
      </c>
      <c r="C452" s="108" t="inlineStr">
        <is>
          <t>Rachel Green</t>
        </is>
      </c>
      <c r="D452" s="108" t="inlineStr">
        <is>
          <t>Central</t>
        </is>
      </c>
      <c r="E452" s="108" t="inlineStr">
        <is>
          <t>Product A</t>
        </is>
      </c>
      <c r="F452" s="108" t="inlineStr">
        <is>
          <t>Enterprise</t>
        </is>
      </c>
      <c r="G452" s="109" t="n">
        <v>49</v>
      </c>
      <c r="H452" s="110" t="n">
        <v>1224951</v>
      </c>
      <c r="I452" s="110" t="n">
        <v>1314917</v>
      </c>
      <c r="J452" s="110" t="n">
        <v>1177209</v>
      </c>
      <c r="K452" s="108" t="inlineStr">
        <is>
          <t>Won</t>
        </is>
      </c>
      <c r="L452" s="138" t="n">
        <v>118</v>
      </c>
      <c r="M452" s="108" t="inlineStr">
        <is>
          <t>Lambda Corp</t>
        </is>
      </c>
      <c r="N452" s="108" t="inlineStr">
        <is>
          <t>Enterprise (&gt;$200K)</t>
        </is>
      </c>
      <c r="O452" s="108" t="inlineStr">
        <is>
          <t>Referral</t>
        </is>
      </c>
      <c r="P452" s="110">
        <f>H452*0.08</f>
        <v/>
      </c>
      <c r="Q452" s="137" t="n">
        <v>0.07000000000000001</v>
      </c>
      <c r="R452" s="108" t="inlineStr">
        <is>
          <t>Q3 deal - Referral channel</t>
        </is>
      </c>
    </row>
    <row r="453" ht="15" customHeight="1" s="77">
      <c r="A453" s="117" t="inlineStr">
        <is>
          <t>2025-04-18</t>
        </is>
      </c>
      <c r="B453" s="117" t="inlineStr">
        <is>
          <t>April</t>
        </is>
      </c>
      <c r="C453" s="117" t="inlineStr">
        <is>
          <t>Mark Thompson</t>
        </is>
      </c>
      <c r="D453" s="117" t="inlineStr">
        <is>
          <t>International</t>
        </is>
      </c>
      <c r="E453" s="117" t="inlineStr">
        <is>
          <t>Product B</t>
        </is>
      </c>
      <c r="F453" s="117" t="inlineStr">
        <is>
          <t>SMB</t>
        </is>
      </c>
      <c r="G453" s="118" t="n">
        <v>14</v>
      </c>
      <c r="H453" s="119" t="n">
        <v>69986</v>
      </c>
      <c r="I453" s="119" t="n">
        <v>65255</v>
      </c>
      <c r="J453" s="119" t="n">
        <v>61901</v>
      </c>
      <c r="K453" s="117" t="inlineStr">
        <is>
          <t>Lost</t>
        </is>
      </c>
      <c r="L453" s="140" t="n">
        <v>12</v>
      </c>
      <c r="M453" s="117" t="inlineStr">
        <is>
          <t>Mu Inc</t>
        </is>
      </c>
      <c r="N453" s="117" t="inlineStr">
        <is>
          <t>Large ($50K-$200K)</t>
        </is>
      </c>
      <c r="O453" s="117" t="inlineStr">
        <is>
          <t>Cold Call</t>
        </is>
      </c>
      <c r="P453" s="119">
        <f>H453*0.08</f>
        <v/>
      </c>
      <c r="Q453" s="139" t="n">
        <v>0.06</v>
      </c>
      <c r="R453" s="117" t="inlineStr">
        <is>
          <t>Q4 deal - Cold Call channel</t>
        </is>
      </c>
    </row>
    <row r="454" ht="15" customHeight="1" s="77">
      <c r="A454" s="108" t="inlineStr">
        <is>
          <t>2025-08-25</t>
        </is>
      </c>
      <c r="B454" s="108" t="inlineStr">
        <is>
          <t>August</t>
        </is>
      </c>
      <c r="C454" s="108" t="inlineStr">
        <is>
          <t>Susan Lee</t>
        </is>
      </c>
      <c r="D454" s="108" t="inlineStr">
        <is>
          <t>North</t>
        </is>
      </c>
      <c r="E454" s="108" t="inlineStr">
        <is>
          <t>Product C</t>
        </is>
      </c>
      <c r="F454" s="108" t="inlineStr">
        <is>
          <t>Mid-Market</t>
        </is>
      </c>
      <c r="G454" s="109" t="n">
        <v>12</v>
      </c>
      <c r="H454" s="110" t="n">
        <v>599988</v>
      </c>
      <c r="I454" s="110" t="n">
        <v>642633</v>
      </c>
      <c r="J454" s="110" t="n">
        <v>551409</v>
      </c>
      <c r="K454" s="108" t="inlineStr">
        <is>
          <t>In Progress</t>
        </is>
      </c>
      <c r="L454" s="138" t="n">
        <v>30</v>
      </c>
      <c r="M454" s="108" t="inlineStr">
        <is>
          <t>Nu LLC</t>
        </is>
      </c>
      <c r="N454" s="108" t="inlineStr">
        <is>
          <t>Enterprise (&gt;$200K)</t>
        </is>
      </c>
      <c r="O454" s="108" t="inlineStr">
        <is>
          <t>LinkedIn</t>
        </is>
      </c>
      <c r="P454" s="110">
        <f>H454*0.08</f>
        <v/>
      </c>
      <c r="Q454" s="137" t="n">
        <v>0.09</v>
      </c>
      <c r="R454" s="108" t="inlineStr">
        <is>
          <t>Q1 deal - LinkedIn channel</t>
        </is>
      </c>
    </row>
    <row r="455" ht="15" customHeight="1" s="77">
      <c r="A455" s="117" t="inlineStr">
        <is>
          <t>2025-08-06</t>
        </is>
      </c>
      <c r="B455" s="117" t="inlineStr">
        <is>
          <t>August</t>
        </is>
      </c>
      <c r="C455" s="117" t="inlineStr">
        <is>
          <t>Kevin Martin</t>
        </is>
      </c>
      <c r="D455" s="117" t="inlineStr">
        <is>
          <t>West</t>
        </is>
      </c>
      <c r="E455" s="117" t="inlineStr">
        <is>
          <t>Product D</t>
        </is>
      </c>
      <c r="F455" s="117" t="inlineStr">
        <is>
          <t>Startup</t>
        </is>
      </c>
      <c r="G455" s="118" t="n">
        <v>35</v>
      </c>
      <c r="H455" s="119" t="n">
        <v>874965</v>
      </c>
      <c r="I455" s="119" t="n">
        <v>961065</v>
      </c>
      <c r="J455" s="119" t="n">
        <v>949095</v>
      </c>
      <c r="K455" s="117" t="inlineStr">
        <is>
          <t>In Progress</t>
        </is>
      </c>
      <c r="L455" s="140" t="n">
        <v>25</v>
      </c>
      <c r="M455" s="117" t="inlineStr">
        <is>
          <t>Xi Ltd</t>
        </is>
      </c>
      <c r="N455" s="117" t="inlineStr">
        <is>
          <t>Enterprise (&gt;$200K)</t>
        </is>
      </c>
      <c r="O455" s="117" t="inlineStr">
        <is>
          <t>Trade Show</t>
        </is>
      </c>
      <c r="P455" s="119">
        <f>H455*0.08</f>
        <v/>
      </c>
      <c r="Q455" s="139" t="n">
        <v>0.14</v>
      </c>
      <c r="R455" s="117" t="inlineStr">
        <is>
          <t>Q2 deal - Trade Show channel</t>
        </is>
      </c>
    </row>
    <row r="456" ht="15" customHeight="1" s="77">
      <c r="A456" s="108" t="inlineStr">
        <is>
          <t>2025-01-14</t>
        </is>
      </c>
      <c r="B456" s="108" t="inlineStr">
        <is>
          <t>January</t>
        </is>
      </c>
      <c r="C456" s="108" t="inlineStr">
        <is>
          <t>Nina Patel</t>
        </is>
      </c>
      <c r="D456" s="108" t="inlineStr">
        <is>
          <t>East</t>
        </is>
      </c>
      <c r="E456" s="108" t="inlineStr">
        <is>
          <t>Product E</t>
        </is>
      </c>
      <c r="F456" s="108" t="inlineStr">
        <is>
          <t>Government</t>
        </is>
      </c>
      <c r="G456" s="109" t="n">
        <v>4</v>
      </c>
      <c r="H456" s="110" t="n">
        <v>39996</v>
      </c>
      <c r="I456" s="110" t="n">
        <v>41343</v>
      </c>
      <c r="J456" s="110" t="n">
        <v>40446</v>
      </c>
      <c r="K456" s="108" t="inlineStr">
        <is>
          <t>Won</t>
        </is>
      </c>
      <c r="L456" s="138" t="n">
        <v>99</v>
      </c>
      <c r="M456" s="108" t="inlineStr">
        <is>
          <t>Pi Co</t>
        </is>
      </c>
      <c r="N456" s="108" t="inlineStr">
        <is>
          <t>Medium ($10K-$50K)</t>
        </is>
      </c>
      <c r="O456" s="108" t="inlineStr">
        <is>
          <t>Website</t>
        </is>
      </c>
      <c r="P456" s="110">
        <f>H456*0.08</f>
        <v/>
      </c>
      <c r="Q456" s="137" t="n">
        <v>0.04</v>
      </c>
      <c r="R456" s="108" t="inlineStr">
        <is>
          <t>Q3 deal - Website channel</t>
        </is>
      </c>
    </row>
    <row r="457" ht="15" customHeight="1" s="77">
      <c r="A457" s="117" t="inlineStr">
        <is>
          <t>2025-10-08</t>
        </is>
      </c>
      <c r="B457" s="117" t="inlineStr">
        <is>
          <t>October</t>
        </is>
      </c>
      <c r="C457" s="117" t="inlineStr">
        <is>
          <t>Chris Wilson</t>
        </is>
      </c>
      <c r="D457" s="117" t="inlineStr">
        <is>
          <t>South</t>
        </is>
      </c>
      <c r="E457" s="117" t="inlineStr">
        <is>
          <t>Product F</t>
        </is>
      </c>
      <c r="F457" s="117" t="inlineStr">
        <is>
          <t>Enterprise</t>
        </is>
      </c>
      <c r="G457" s="118" t="n">
        <v>16</v>
      </c>
      <c r="H457" s="119" t="n">
        <v>127984</v>
      </c>
      <c r="I457" s="119" t="n">
        <v>137603</v>
      </c>
      <c r="J457" s="119" t="n">
        <v>138295</v>
      </c>
      <c r="K457" s="117" t="inlineStr">
        <is>
          <t>Won</t>
        </is>
      </c>
      <c r="L457" s="140" t="n">
        <v>20</v>
      </c>
      <c r="M457" s="117" t="inlineStr">
        <is>
          <t>Rho Corp</t>
        </is>
      </c>
      <c r="N457" s="117" t="inlineStr">
        <is>
          <t>Large ($50K-$200K)</t>
        </is>
      </c>
      <c r="O457" s="117" t="inlineStr">
        <is>
          <t>Partner</t>
        </is>
      </c>
      <c r="P457" s="119">
        <f>H457*0.08</f>
        <v/>
      </c>
      <c r="Q457" s="139" t="n">
        <v>0.11</v>
      </c>
      <c r="R457" s="117" t="inlineStr">
        <is>
          <t>Q4 deal - Partner channel</t>
        </is>
      </c>
    </row>
    <row r="458" ht="15" customHeight="1" s="77">
      <c r="A458" s="108" t="inlineStr">
        <is>
          <t>2025-04-14</t>
        </is>
      </c>
      <c r="B458" s="108" t="inlineStr">
        <is>
          <t>April</t>
        </is>
      </c>
      <c r="C458" s="108" t="inlineStr">
        <is>
          <t>Amanda Foster</t>
        </is>
      </c>
      <c r="D458" s="108" t="inlineStr">
        <is>
          <t>Central</t>
        </is>
      </c>
      <c r="E458" s="108" t="inlineStr">
        <is>
          <t>Product G</t>
        </is>
      </c>
      <c r="F458" s="108" t="inlineStr">
        <is>
          <t>SMB</t>
        </is>
      </c>
      <c r="G458" s="109" t="n">
        <v>7</v>
      </c>
      <c r="H458" s="110" t="n">
        <v>69993</v>
      </c>
      <c r="I458" s="110" t="n">
        <v>70936</v>
      </c>
      <c r="J458" s="110" t="n">
        <v>66656</v>
      </c>
      <c r="K458" s="108" t="inlineStr">
        <is>
          <t>Won</t>
        </is>
      </c>
      <c r="L458" s="138" t="n">
        <v>25</v>
      </c>
      <c r="M458" s="108" t="inlineStr">
        <is>
          <t>Sigma Inc</t>
        </is>
      </c>
      <c r="N458" s="108" t="inlineStr">
        <is>
          <t>Large ($50K-$200K)</t>
        </is>
      </c>
      <c r="O458" s="108" t="inlineStr">
        <is>
          <t>Email Campaign</t>
        </is>
      </c>
      <c r="P458" s="110">
        <f>H458*0.08</f>
        <v/>
      </c>
      <c r="Q458" s="137" t="n">
        <v>0.09</v>
      </c>
      <c r="R458" s="108" t="inlineStr">
        <is>
          <t>Q1 deal - Email Campaign channel</t>
        </is>
      </c>
    </row>
    <row r="459" ht="15" customHeight="1" s="77">
      <c r="A459" s="117" t="inlineStr">
        <is>
          <t>2025-10-30</t>
        </is>
      </c>
      <c r="B459" s="117" t="inlineStr">
        <is>
          <t>October</t>
        </is>
      </c>
      <c r="C459" s="117" t="inlineStr">
        <is>
          <t>Robert Taylor</t>
        </is>
      </c>
      <c r="D459" s="117" t="inlineStr">
        <is>
          <t>International</t>
        </is>
      </c>
      <c r="E459" s="117" t="inlineStr">
        <is>
          <t>Product H</t>
        </is>
      </c>
      <c r="F459" s="117" t="inlineStr">
        <is>
          <t>Mid-Market</t>
        </is>
      </c>
      <c r="G459" s="118" t="n">
        <v>37</v>
      </c>
      <c r="H459" s="119" t="n">
        <v>369963</v>
      </c>
      <c r="I459" s="119" t="n">
        <v>440747</v>
      </c>
      <c r="J459" s="119" t="n">
        <v>369564</v>
      </c>
      <c r="K459" s="117" t="inlineStr">
        <is>
          <t>Won</t>
        </is>
      </c>
      <c r="L459" s="140" t="n">
        <v>87</v>
      </c>
      <c r="M459" s="117" t="inlineStr">
        <is>
          <t>Tau LLC</t>
        </is>
      </c>
      <c r="N459" s="117" t="inlineStr">
        <is>
          <t>Enterprise (&gt;$200K)</t>
        </is>
      </c>
      <c r="O459" s="117" t="inlineStr">
        <is>
          <t>Webinar</t>
        </is>
      </c>
      <c r="P459" s="119">
        <f>H459*0.08</f>
        <v/>
      </c>
      <c r="Q459" s="139" t="n">
        <v>0.05</v>
      </c>
      <c r="R459" s="117" t="inlineStr">
        <is>
          <t>Q2 deal - Webinar channel</t>
        </is>
      </c>
    </row>
    <row r="460" ht="15" customHeight="1" s="77">
      <c r="A460" s="108" t="inlineStr">
        <is>
          <t>2025-10-17</t>
        </is>
      </c>
      <c r="B460" s="108" t="inlineStr">
        <is>
          <t>October</t>
        </is>
      </c>
      <c r="C460" s="108" t="inlineStr">
        <is>
          <t>Jennifer Moore</t>
        </is>
      </c>
      <c r="D460" s="108" t="inlineStr">
        <is>
          <t>North</t>
        </is>
      </c>
      <c r="E460" s="108" t="inlineStr">
        <is>
          <t>Product I</t>
        </is>
      </c>
      <c r="F460" s="108" t="inlineStr">
        <is>
          <t>Startup</t>
        </is>
      </c>
      <c r="G460" s="109" t="n">
        <v>22</v>
      </c>
      <c r="H460" s="110" t="n">
        <v>549978</v>
      </c>
      <c r="I460" s="110" t="n">
        <v>510936</v>
      </c>
      <c r="J460" s="110" t="n">
        <v>586374</v>
      </c>
      <c r="K460" s="108" t="inlineStr">
        <is>
          <t>Lost</t>
        </is>
      </c>
      <c r="L460" s="138" t="n">
        <v>19</v>
      </c>
      <c r="M460" s="108" t="inlineStr">
        <is>
          <t>Upsilon Ltd</t>
        </is>
      </c>
      <c r="N460" s="108" t="inlineStr">
        <is>
          <t>Enterprise (&gt;$200K)</t>
        </is>
      </c>
      <c r="O460" s="108" t="inlineStr">
        <is>
          <t>SEO</t>
        </is>
      </c>
      <c r="P460" s="110">
        <f>H460*0.08</f>
        <v/>
      </c>
      <c r="Q460" s="137" t="n">
        <v>0.12</v>
      </c>
      <c r="R460" s="108" t="inlineStr">
        <is>
          <t>Q3 deal - SEO channel</t>
        </is>
      </c>
    </row>
    <row r="461" ht="15" customHeight="1" s="77">
      <c r="A461" s="117" t="inlineStr">
        <is>
          <t>2025-02-05</t>
        </is>
      </c>
      <c r="B461" s="117" t="inlineStr">
        <is>
          <t>February</t>
        </is>
      </c>
      <c r="C461" s="117" t="inlineStr">
        <is>
          <t>Daniel Jackson</t>
        </is>
      </c>
      <c r="D461" s="117" t="inlineStr">
        <is>
          <t>West</t>
        </is>
      </c>
      <c r="E461" s="117" t="inlineStr">
        <is>
          <t>Product J</t>
        </is>
      </c>
      <c r="F461" s="117" t="inlineStr">
        <is>
          <t>Government</t>
        </is>
      </c>
      <c r="G461" s="118" t="n">
        <v>44</v>
      </c>
      <c r="H461" s="119" t="n">
        <v>351956</v>
      </c>
      <c r="I461" s="119" t="n">
        <v>390957</v>
      </c>
      <c r="J461" s="119" t="n">
        <v>348687</v>
      </c>
      <c r="K461" s="117" t="inlineStr">
        <is>
          <t>In Progress</t>
        </is>
      </c>
      <c r="L461" s="140" t="n">
        <v>22</v>
      </c>
      <c r="M461" s="117" t="inlineStr">
        <is>
          <t>Phi Co</t>
        </is>
      </c>
      <c r="N461" s="117" t="inlineStr">
        <is>
          <t>Enterprise (&gt;$200K)</t>
        </is>
      </c>
      <c r="O461" s="117" t="inlineStr">
        <is>
          <t>Direct</t>
        </is>
      </c>
      <c r="P461" s="119">
        <f>H461*0.08</f>
        <v/>
      </c>
      <c r="Q461" s="139" t="n">
        <v>0.13</v>
      </c>
      <c r="R461" s="117" t="inlineStr">
        <is>
          <t>Q4 deal - Direct channel</t>
        </is>
      </c>
    </row>
    <row r="462" ht="15" customHeight="1" s="77">
      <c r="A462" s="108" t="inlineStr">
        <is>
          <t>2025-03-06</t>
        </is>
      </c>
      <c r="B462" s="108" t="inlineStr">
        <is>
          <t>March</t>
        </is>
      </c>
      <c r="C462" s="108" t="inlineStr">
        <is>
          <t>Sarah Johnson</t>
        </is>
      </c>
      <c r="D462" s="108" t="inlineStr">
        <is>
          <t>North</t>
        </is>
      </c>
      <c r="E462" s="108" t="inlineStr">
        <is>
          <t>Product A</t>
        </is>
      </c>
      <c r="F462" s="108" t="inlineStr">
        <is>
          <t>Enterprise</t>
        </is>
      </c>
      <c r="G462" s="109" t="n">
        <v>49</v>
      </c>
      <c r="H462" s="110" t="n">
        <v>1469951</v>
      </c>
      <c r="I462" s="110" t="n">
        <v>1514107</v>
      </c>
      <c r="J462" s="110" t="n">
        <v>1325758</v>
      </c>
      <c r="K462" s="108" t="inlineStr">
        <is>
          <t>In Progress</t>
        </is>
      </c>
      <c r="L462" s="138" t="n">
        <v>55</v>
      </c>
      <c r="M462" s="108" t="inlineStr">
        <is>
          <t>Acme Corp</t>
        </is>
      </c>
      <c r="N462" s="108" t="inlineStr">
        <is>
          <t>Enterprise (&gt;$200K)</t>
        </is>
      </c>
      <c r="O462" s="108" t="inlineStr">
        <is>
          <t>Referral</t>
        </is>
      </c>
      <c r="P462" s="110">
        <f>H462*0.08</f>
        <v/>
      </c>
      <c r="Q462" s="137" t="n">
        <v>0.06</v>
      </c>
      <c r="R462" s="108" t="inlineStr">
        <is>
          <t>Q1 deal - Referral channel</t>
        </is>
      </c>
    </row>
    <row r="463" ht="15" customHeight="1" s="77">
      <c r="A463" s="117" t="inlineStr">
        <is>
          <t>2025-02-18</t>
        </is>
      </c>
      <c r="B463" s="117" t="inlineStr">
        <is>
          <t>February</t>
        </is>
      </c>
      <c r="C463" s="117" t="inlineStr">
        <is>
          <t>Mike Chen</t>
        </is>
      </c>
      <c r="D463" s="117" t="inlineStr">
        <is>
          <t>West</t>
        </is>
      </c>
      <c r="E463" s="117" t="inlineStr">
        <is>
          <t>Product B</t>
        </is>
      </c>
      <c r="F463" s="117" t="inlineStr">
        <is>
          <t>SMB</t>
        </is>
      </c>
      <c r="G463" s="118" t="n">
        <v>41</v>
      </c>
      <c r="H463" s="119" t="n">
        <v>409959</v>
      </c>
      <c r="I463" s="119" t="n">
        <v>412387</v>
      </c>
      <c r="J463" s="119" t="n">
        <v>446264</v>
      </c>
      <c r="K463" s="117" t="inlineStr">
        <is>
          <t>Won</t>
        </is>
      </c>
      <c r="L463" s="140" t="n">
        <v>49</v>
      </c>
      <c r="M463" s="117" t="inlineStr">
        <is>
          <t>Beta Inc</t>
        </is>
      </c>
      <c r="N463" s="117" t="inlineStr">
        <is>
          <t>Enterprise (&gt;$200K)</t>
        </is>
      </c>
      <c r="O463" s="117" t="inlineStr">
        <is>
          <t>Cold Call</t>
        </is>
      </c>
      <c r="P463" s="119">
        <f>H463*0.08</f>
        <v/>
      </c>
      <c r="Q463" s="139" t="n">
        <v>0.05</v>
      </c>
      <c r="R463" s="117" t="inlineStr">
        <is>
          <t>Q2 deal - Cold Call channel</t>
        </is>
      </c>
    </row>
    <row r="464" ht="15" customHeight="1" s="77">
      <c r="A464" s="108" t="inlineStr">
        <is>
          <t>2025-12-30</t>
        </is>
      </c>
      <c r="B464" s="108" t="inlineStr">
        <is>
          <t>December</t>
        </is>
      </c>
      <c r="C464" s="108" t="inlineStr">
        <is>
          <t>Priya Sharma</t>
        </is>
      </c>
      <c r="D464" s="108" t="inlineStr">
        <is>
          <t>East</t>
        </is>
      </c>
      <c r="E464" s="108" t="inlineStr">
        <is>
          <t>Product C</t>
        </is>
      </c>
      <c r="F464" s="108" t="inlineStr">
        <is>
          <t>Mid-Market</t>
        </is>
      </c>
      <c r="G464" s="109" t="n">
        <v>7</v>
      </c>
      <c r="H464" s="110" t="n">
        <v>174993</v>
      </c>
      <c r="I464" s="110" t="n">
        <v>168064</v>
      </c>
      <c r="J464" s="110" t="n">
        <v>160313</v>
      </c>
      <c r="K464" s="108" t="inlineStr">
        <is>
          <t>Won</t>
        </is>
      </c>
      <c r="L464" s="138" t="n">
        <v>84</v>
      </c>
      <c r="M464" s="108" t="inlineStr">
        <is>
          <t>Gamma LLC</t>
        </is>
      </c>
      <c r="N464" s="108" t="inlineStr">
        <is>
          <t>Large ($50K-$200K)</t>
        </is>
      </c>
      <c r="O464" s="108" t="inlineStr">
        <is>
          <t>LinkedIn</t>
        </is>
      </c>
      <c r="P464" s="110">
        <f>H464*0.08</f>
        <v/>
      </c>
      <c r="Q464" s="137" t="n">
        <v>0.03</v>
      </c>
      <c r="R464" s="108" t="inlineStr">
        <is>
          <t>Q3 deal - LinkedIn channel</t>
        </is>
      </c>
    </row>
    <row r="465" ht="15" customHeight="1" s="77">
      <c r="A465" s="117" t="inlineStr">
        <is>
          <t>2025-08-13</t>
        </is>
      </c>
      <c r="B465" s="117" t="inlineStr">
        <is>
          <t>August</t>
        </is>
      </c>
      <c r="C465" s="117" t="inlineStr">
        <is>
          <t>James Williams</t>
        </is>
      </c>
      <c r="D465" s="117" t="inlineStr">
        <is>
          <t>South</t>
        </is>
      </c>
      <c r="E465" s="117" t="inlineStr">
        <is>
          <t>Product D</t>
        </is>
      </c>
      <c r="F465" s="117" t="inlineStr">
        <is>
          <t>Startup</t>
        </is>
      </c>
      <c r="G465" s="118" t="n">
        <v>11</v>
      </c>
      <c r="H465" s="119" t="n">
        <v>329989</v>
      </c>
      <c r="I465" s="119" t="n">
        <v>362563</v>
      </c>
      <c r="J465" s="119" t="n">
        <v>318288</v>
      </c>
      <c r="K465" s="117" t="inlineStr">
        <is>
          <t>Won</t>
        </is>
      </c>
      <c r="L465" s="140" t="n">
        <v>69</v>
      </c>
      <c r="M465" s="117" t="inlineStr">
        <is>
          <t>Delta Ltd</t>
        </is>
      </c>
      <c r="N465" s="117" t="inlineStr">
        <is>
          <t>Enterprise (&gt;$200K)</t>
        </is>
      </c>
      <c r="O465" s="117" t="inlineStr">
        <is>
          <t>Trade Show</t>
        </is>
      </c>
      <c r="P465" s="119">
        <f>H465*0.08</f>
        <v/>
      </c>
      <c r="Q465" s="139" t="n">
        <v>0.04</v>
      </c>
      <c r="R465" s="117" t="inlineStr">
        <is>
          <t>Q4 deal - Trade Show channel</t>
        </is>
      </c>
    </row>
    <row r="466" ht="15" customHeight="1" s="77">
      <c r="A466" s="108" t="inlineStr">
        <is>
          <t>2025-05-14</t>
        </is>
      </c>
      <c r="B466" s="108" t="inlineStr">
        <is>
          <t>May</t>
        </is>
      </c>
      <c r="C466" s="108" t="inlineStr">
        <is>
          <t>Emily Davis</t>
        </is>
      </c>
      <c r="D466" s="108" t="inlineStr">
        <is>
          <t>Central</t>
        </is>
      </c>
      <c r="E466" s="108" t="inlineStr">
        <is>
          <t>Product E</t>
        </is>
      </c>
      <c r="F466" s="108" t="inlineStr">
        <is>
          <t>Government</t>
        </is>
      </c>
      <c r="G466" s="109" t="n">
        <v>37</v>
      </c>
      <c r="H466" s="110" t="n">
        <v>924963</v>
      </c>
      <c r="I466" s="110" t="n">
        <v>1027531</v>
      </c>
      <c r="J466" s="110" t="n">
        <v>832810</v>
      </c>
      <c r="K466" s="108" t="inlineStr">
        <is>
          <t>Won</t>
        </is>
      </c>
      <c r="L466" s="138" t="n">
        <v>13</v>
      </c>
      <c r="M466" s="108" t="inlineStr">
        <is>
          <t>Epsilon Co</t>
        </is>
      </c>
      <c r="N466" s="108" t="inlineStr">
        <is>
          <t>Enterprise (&gt;$200K)</t>
        </is>
      </c>
      <c r="O466" s="108" t="inlineStr">
        <is>
          <t>Website</t>
        </is>
      </c>
      <c r="P466" s="110">
        <f>H466*0.08</f>
        <v/>
      </c>
      <c r="Q466" s="137" t="n">
        <v>0.14</v>
      </c>
      <c r="R466" s="108" t="inlineStr">
        <is>
          <t>Q1 deal - Website channel</t>
        </is>
      </c>
    </row>
    <row r="467" ht="15" customHeight="1" s="77">
      <c r="A467" s="117" t="inlineStr">
        <is>
          <t>2025-07-19</t>
        </is>
      </c>
      <c r="B467" s="117" t="inlineStr">
        <is>
          <t>July</t>
        </is>
      </c>
      <c r="C467" s="117" t="inlineStr">
        <is>
          <t>Carlos Ruiz</t>
        </is>
      </c>
      <c r="D467" s="117" t="inlineStr">
        <is>
          <t>International</t>
        </is>
      </c>
      <c r="E467" s="117" t="inlineStr">
        <is>
          <t>Product F</t>
        </is>
      </c>
      <c r="F467" s="117" t="inlineStr">
        <is>
          <t>Enterprise</t>
        </is>
      </c>
      <c r="G467" s="118" t="n">
        <v>3</v>
      </c>
      <c r="H467" s="119" t="n">
        <v>23997</v>
      </c>
      <c r="I467" s="119" t="n">
        <v>26547</v>
      </c>
      <c r="J467" s="119" t="n">
        <v>24513</v>
      </c>
      <c r="K467" s="117" t="inlineStr">
        <is>
          <t>Lost</t>
        </is>
      </c>
      <c r="L467" s="140" t="n">
        <v>31</v>
      </c>
      <c r="M467" s="117" t="inlineStr">
        <is>
          <t>Zeta Corp</t>
        </is>
      </c>
      <c r="N467" s="117" t="inlineStr">
        <is>
          <t>Medium ($10K-$50K)</t>
        </is>
      </c>
      <c r="O467" s="117" t="inlineStr">
        <is>
          <t>Partner</t>
        </is>
      </c>
      <c r="P467" s="119">
        <f>H467*0.08</f>
        <v/>
      </c>
      <c r="Q467" s="139" t="n">
        <v>0</v>
      </c>
      <c r="R467" s="117" t="inlineStr">
        <is>
          <t>Q2 deal - Partner channel</t>
        </is>
      </c>
    </row>
    <row r="468" ht="15" customHeight="1" s="77">
      <c r="A468" s="108" t="inlineStr">
        <is>
          <t>2025-12-20</t>
        </is>
      </c>
      <c r="B468" s="108" t="inlineStr">
        <is>
          <t>December</t>
        </is>
      </c>
      <c r="C468" s="108" t="inlineStr">
        <is>
          <t>Lisa Park</t>
        </is>
      </c>
      <c r="D468" s="108" t="inlineStr">
        <is>
          <t>North</t>
        </is>
      </c>
      <c r="E468" s="108" t="inlineStr">
        <is>
          <t>Product G</t>
        </is>
      </c>
      <c r="F468" s="108" t="inlineStr">
        <is>
          <t>SMB</t>
        </is>
      </c>
      <c r="G468" s="109" t="n">
        <v>50</v>
      </c>
      <c r="H468" s="110" t="n">
        <v>1249950</v>
      </c>
      <c r="I468" s="110" t="n">
        <v>1321318</v>
      </c>
      <c r="J468" s="110" t="n">
        <v>1223833</v>
      </c>
      <c r="K468" s="108" t="inlineStr">
        <is>
          <t>In Progress</t>
        </is>
      </c>
      <c r="L468" s="138" t="n">
        <v>83</v>
      </c>
      <c r="M468" s="108" t="inlineStr">
        <is>
          <t>Eta Inc</t>
        </is>
      </c>
      <c r="N468" s="108" t="inlineStr">
        <is>
          <t>Enterprise (&gt;$200K)</t>
        </is>
      </c>
      <c r="O468" s="108" t="inlineStr">
        <is>
          <t>Email Campaign</t>
        </is>
      </c>
      <c r="P468" s="110">
        <f>H468*0.08</f>
        <v/>
      </c>
      <c r="Q468" s="137" t="n">
        <v>0.1</v>
      </c>
      <c r="R468" s="108" t="inlineStr">
        <is>
          <t>Q3 deal - Email Campaign channel</t>
        </is>
      </c>
    </row>
    <row r="469" ht="15" customHeight="1" s="77">
      <c r="A469" s="117" t="inlineStr">
        <is>
          <t>2025-03-02</t>
        </is>
      </c>
      <c r="B469" s="117" t="inlineStr">
        <is>
          <t>March</t>
        </is>
      </c>
      <c r="C469" s="117" t="inlineStr">
        <is>
          <t>Tom Brown</t>
        </is>
      </c>
      <c r="D469" s="117" t="inlineStr">
        <is>
          <t>West</t>
        </is>
      </c>
      <c r="E469" s="117" t="inlineStr">
        <is>
          <t>Product H</t>
        </is>
      </c>
      <c r="F469" s="117" t="inlineStr">
        <is>
          <t>Mid-Market</t>
        </is>
      </c>
      <c r="G469" s="118" t="n">
        <v>18</v>
      </c>
      <c r="H469" s="119" t="n">
        <v>143982</v>
      </c>
      <c r="I469" s="119" t="n">
        <v>139065</v>
      </c>
      <c r="J469" s="119" t="n">
        <v>140379</v>
      </c>
      <c r="K469" s="117" t="inlineStr">
        <is>
          <t>In Progress</t>
        </is>
      </c>
      <c r="L469" s="140" t="n">
        <v>109</v>
      </c>
      <c r="M469" s="117" t="inlineStr">
        <is>
          <t>Theta LLC</t>
        </is>
      </c>
      <c r="N469" s="117" t="inlineStr">
        <is>
          <t>Large ($50K-$200K)</t>
        </is>
      </c>
      <c r="O469" s="117" t="inlineStr">
        <is>
          <t>Webinar</t>
        </is>
      </c>
      <c r="P469" s="119">
        <f>H469*0.08</f>
        <v/>
      </c>
      <c r="Q469" s="139" t="n">
        <v>0.06</v>
      </c>
      <c r="R469" s="117" t="inlineStr">
        <is>
          <t>Q4 deal - Webinar channel</t>
        </is>
      </c>
    </row>
    <row r="470" ht="15" customHeight="1" s="77">
      <c r="A470" s="108" t="inlineStr">
        <is>
          <t>2025-12-23</t>
        </is>
      </c>
      <c r="B470" s="108" t="inlineStr">
        <is>
          <t>December</t>
        </is>
      </c>
      <c r="C470" s="108" t="inlineStr">
        <is>
          <t>Anna Schmidt</t>
        </is>
      </c>
      <c r="D470" s="108" t="inlineStr">
        <is>
          <t>East</t>
        </is>
      </c>
      <c r="E470" s="108" t="inlineStr">
        <is>
          <t>Product I</t>
        </is>
      </c>
      <c r="F470" s="108" t="inlineStr">
        <is>
          <t>Startup</t>
        </is>
      </c>
      <c r="G470" s="109" t="n">
        <v>39</v>
      </c>
      <c r="H470" s="110" t="n">
        <v>389961</v>
      </c>
      <c r="I470" s="110" t="n">
        <v>360207</v>
      </c>
      <c r="J470" s="110" t="n">
        <v>396199</v>
      </c>
      <c r="K470" s="108" t="inlineStr">
        <is>
          <t>Won</t>
        </is>
      </c>
      <c r="L470" s="138" t="n">
        <v>108</v>
      </c>
      <c r="M470" s="108" t="inlineStr">
        <is>
          <t>Iota Ltd</t>
        </is>
      </c>
      <c r="N470" s="108" t="inlineStr">
        <is>
          <t>Enterprise (&gt;$200K)</t>
        </is>
      </c>
      <c r="O470" s="108" t="inlineStr">
        <is>
          <t>SEO</t>
        </is>
      </c>
      <c r="P470" s="110">
        <f>H470*0.08</f>
        <v/>
      </c>
      <c r="Q470" s="137" t="n">
        <v>0.08</v>
      </c>
      <c r="R470" s="108" t="inlineStr">
        <is>
          <t>Q1 deal - SEO channel</t>
        </is>
      </c>
    </row>
    <row r="471" ht="15" customHeight="1" s="77">
      <c r="A471" s="117" t="inlineStr">
        <is>
          <t>2025-08-14</t>
        </is>
      </c>
      <c r="B471" s="117" t="inlineStr">
        <is>
          <t>August</t>
        </is>
      </c>
      <c r="C471" s="117" t="inlineStr">
        <is>
          <t>David Kim</t>
        </is>
      </c>
      <c r="D471" s="117" t="inlineStr">
        <is>
          <t>South</t>
        </is>
      </c>
      <c r="E471" s="117" t="inlineStr">
        <is>
          <t>Product J</t>
        </is>
      </c>
      <c r="F471" s="117" t="inlineStr">
        <is>
          <t>Government</t>
        </is>
      </c>
      <c r="G471" s="118" t="n">
        <v>10</v>
      </c>
      <c r="H471" s="119" t="n">
        <v>149990</v>
      </c>
      <c r="I471" s="119" t="n">
        <v>157468</v>
      </c>
      <c r="J471" s="119" t="n">
        <v>153614</v>
      </c>
      <c r="K471" s="117" t="inlineStr">
        <is>
          <t>Won</t>
        </is>
      </c>
      <c r="L471" s="140" t="n">
        <v>33</v>
      </c>
      <c r="M471" s="117" t="inlineStr">
        <is>
          <t>Kappa Co</t>
        </is>
      </c>
      <c r="N471" s="117" t="inlineStr">
        <is>
          <t>Large ($50K-$200K)</t>
        </is>
      </c>
      <c r="O471" s="117" t="inlineStr">
        <is>
          <t>Direct</t>
        </is>
      </c>
      <c r="P471" s="119">
        <f>H471*0.08</f>
        <v/>
      </c>
      <c r="Q471" s="139" t="n">
        <v>0.04</v>
      </c>
      <c r="R471" s="117" t="inlineStr">
        <is>
          <t>Q2 deal - Direct channel</t>
        </is>
      </c>
    </row>
    <row r="472" ht="15" customHeight="1" s="77">
      <c r="A472" s="108" t="inlineStr">
        <is>
          <t>2025-05-20</t>
        </is>
      </c>
      <c r="B472" s="108" t="inlineStr">
        <is>
          <t>May</t>
        </is>
      </c>
      <c r="C472" s="108" t="inlineStr">
        <is>
          <t>Rachel Green</t>
        </is>
      </c>
      <c r="D472" s="108" t="inlineStr">
        <is>
          <t>Central</t>
        </is>
      </c>
      <c r="E472" s="108" t="inlineStr">
        <is>
          <t>Product A</t>
        </is>
      </c>
      <c r="F472" s="108" t="inlineStr">
        <is>
          <t>Enterprise</t>
        </is>
      </c>
      <c r="G472" s="109" t="n">
        <v>44</v>
      </c>
      <c r="H472" s="110" t="n">
        <v>439956</v>
      </c>
      <c r="I472" s="110" t="n">
        <v>488646</v>
      </c>
      <c r="J472" s="110" t="n">
        <v>400060</v>
      </c>
      <c r="K472" s="108" t="inlineStr">
        <is>
          <t>Won</t>
        </is>
      </c>
      <c r="L472" s="138" t="n">
        <v>48</v>
      </c>
      <c r="M472" s="108" t="inlineStr">
        <is>
          <t>Lambda Corp</t>
        </is>
      </c>
      <c r="N472" s="108" t="inlineStr">
        <is>
          <t>Enterprise (&gt;$200K)</t>
        </is>
      </c>
      <c r="O472" s="108" t="inlineStr">
        <is>
          <t>Referral</t>
        </is>
      </c>
      <c r="P472" s="110">
        <f>H472*0.08</f>
        <v/>
      </c>
      <c r="Q472" s="137" t="n">
        <v>0.01</v>
      </c>
      <c r="R472" s="108" t="inlineStr">
        <is>
          <t>Q3 deal - Referral channel</t>
        </is>
      </c>
    </row>
    <row r="473" ht="15" customHeight="1" s="77">
      <c r="A473" s="117" t="inlineStr">
        <is>
          <t>2025-08-05</t>
        </is>
      </c>
      <c r="B473" s="117" t="inlineStr">
        <is>
          <t>August</t>
        </is>
      </c>
      <c r="C473" s="117" t="inlineStr">
        <is>
          <t>Mark Thompson</t>
        </is>
      </c>
      <c r="D473" s="117" t="inlineStr">
        <is>
          <t>International</t>
        </is>
      </c>
      <c r="E473" s="117" t="inlineStr">
        <is>
          <t>Product B</t>
        </is>
      </c>
      <c r="F473" s="117" t="inlineStr">
        <is>
          <t>SMB</t>
        </is>
      </c>
      <c r="G473" s="118" t="n">
        <v>24</v>
      </c>
      <c r="H473" s="119" t="n">
        <v>119976</v>
      </c>
      <c r="I473" s="119" t="n">
        <v>140562</v>
      </c>
      <c r="J473" s="119" t="n">
        <v>119068</v>
      </c>
      <c r="K473" s="117" t="inlineStr">
        <is>
          <t>Won</t>
        </is>
      </c>
      <c r="L473" s="140" t="n">
        <v>43</v>
      </c>
      <c r="M473" s="117" t="inlineStr">
        <is>
          <t>Mu Inc</t>
        </is>
      </c>
      <c r="N473" s="117" t="inlineStr">
        <is>
          <t>Large ($50K-$200K)</t>
        </is>
      </c>
      <c r="O473" s="117" t="inlineStr">
        <is>
          <t>Cold Call</t>
        </is>
      </c>
      <c r="P473" s="119">
        <f>H473*0.08</f>
        <v/>
      </c>
      <c r="Q473" s="139" t="n">
        <v>0.04</v>
      </c>
      <c r="R473" s="117" t="inlineStr">
        <is>
          <t>Q4 deal - Cold Call channel</t>
        </is>
      </c>
    </row>
    <row r="474" ht="15" customHeight="1" s="77">
      <c r="A474" s="108" t="inlineStr">
        <is>
          <t>2025-10-17</t>
        </is>
      </c>
      <c r="B474" s="108" t="inlineStr">
        <is>
          <t>October</t>
        </is>
      </c>
      <c r="C474" s="108" t="inlineStr">
        <is>
          <t>Susan Lee</t>
        </is>
      </c>
      <c r="D474" s="108" t="inlineStr">
        <is>
          <t>North</t>
        </is>
      </c>
      <c r="E474" s="108" t="inlineStr">
        <is>
          <t>Product C</t>
        </is>
      </c>
      <c r="F474" s="108" t="inlineStr">
        <is>
          <t>Mid-Market</t>
        </is>
      </c>
      <c r="G474" s="109" t="n">
        <v>38</v>
      </c>
      <c r="H474" s="110" t="n">
        <v>759962</v>
      </c>
      <c r="I474" s="110" t="n">
        <v>807706</v>
      </c>
      <c r="J474" s="110" t="n">
        <v>726121</v>
      </c>
      <c r="K474" s="108" t="inlineStr">
        <is>
          <t>Lost</t>
        </is>
      </c>
      <c r="L474" s="138" t="n">
        <v>105</v>
      </c>
      <c r="M474" s="108" t="inlineStr">
        <is>
          <t>Nu LLC</t>
        </is>
      </c>
      <c r="N474" s="108" t="inlineStr">
        <is>
          <t>Enterprise (&gt;$200K)</t>
        </is>
      </c>
      <c r="O474" s="108" t="inlineStr">
        <is>
          <t>LinkedIn</t>
        </is>
      </c>
      <c r="P474" s="110">
        <f>H474*0.08</f>
        <v/>
      </c>
      <c r="Q474" s="137" t="n">
        <v>0.1</v>
      </c>
      <c r="R474" s="108" t="inlineStr">
        <is>
          <t>Q1 deal - LinkedIn channel</t>
        </is>
      </c>
    </row>
    <row r="475" ht="15" customHeight="1" s="77">
      <c r="A475" s="117" t="inlineStr">
        <is>
          <t>2025-11-18</t>
        </is>
      </c>
      <c r="B475" s="117" t="inlineStr">
        <is>
          <t>November</t>
        </is>
      </c>
      <c r="C475" s="117" t="inlineStr">
        <is>
          <t>Kevin Martin</t>
        </is>
      </c>
      <c r="D475" s="117" t="inlineStr">
        <is>
          <t>West</t>
        </is>
      </c>
      <c r="E475" s="117" t="inlineStr">
        <is>
          <t>Product D</t>
        </is>
      </c>
      <c r="F475" s="117" t="inlineStr">
        <is>
          <t>Startup</t>
        </is>
      </c>
      <c r="G475" s="118" t="n">
        <v>42</v>
      </c>
      <c r="H475" s="119" t="n">
        <v>209958</v>
      </c>
      <c r="I475" s="119" t="n">
        <v>238798</v>
      </c>
      <c r="J475" s="119" t="n">
        <v>193987</v>
      </c>
      <c r="K475" s="117" t="inlineStr">
        <is>
          <t>In Progress</t>
        </is>
      </c>
      <c r="L475" s="140" t="n">
        <v>70</v>
      </c>
      <c r="M475" s="117" t="inlineStr">
        <is>
          <t>Xi Ltd</t>
        </is>
      </c>
      <c r="N475" s="117" t="inlineStr">
        <is>
          <t>Enterprise (&gt;$200K)</t>
        </is>
      </c>
      <c r="O475" s="117" t="inlineStr">
        <is>
          <t>Trade Show</t>
        </is>
      </c>
      <c r="P475" s="119">
        <f>H475*0.08</f>
        <v/>
      </c>
      <c r="Q475" s="139" t="n">
        <v>0.06</v>
      </c>
      <c r="R475" s="117" t="inlineStr">
        <is>
          <t>Q2 deal - Trade Show channel</t>
        </is>
      </c>
    </row>
    <row r="476" ht="15" customHeight="1" s="77">
      <c r="A476" s="108" t="inlineStr">
        <is>
          <t>2025-06-10</t>
        </is>
      </c>
      <c r="B476" s="108" t="inlineStr">
        <is>
          <t>June</t>
        </is>
      </c>
      <c r="C476" s="108" t="inlineStr">
        <is>
          <t>Nina Patel</t>
        </is>
      </c>
      <c r="D476" s="108" t="inlineStr">
        <is>
          <t>East</t>
        </is>
      </c>
      <c r="E476" s="108" t="inlineStr">
        <is>
          <t>Product E</t>
        </is>
      </c>
      <c r="F476" s="108" t="inlineStr">
        <is>
          <t>Government</t>
        </is>
      </c>
      <c r="G476" s="109" t="n">
        <v>28</v>
      </c>
      <c r="H476" s="110" t="n">
        <v>699972</v>
      </c>
      <c r="I476" s="110" t="n">
        <v>732443</v>
      </c>
      <c r="J476" s="110" t="n">
        <v>655086</v>
      </c>
      <c r="K476" s="108" t="inlineStr">
        <is>
          <t>In Progress</t>
        </is>
      </c>
      <c r="L476" s="138" t="n">
        <v>78</v>
      </c>
      <c r="M476" s="108" t="inlineStr">
        <is>
          <t>Pi Co</t>
        </is>
      </c>
      <c r="N476" s="108" t="inlineStr">
        <is>
          <t>Enterprise (&gt;$200K)</t>
        </is>
      </c>
      <c r="O476" s="108" t="inlineStr">
        <is>
          <t>Website</t>
        </is>
      </c>
      <c r="P476" s="110">
        <f>H476*0.08</f>
        <v/>
      </c>
      <c r="Q476" s="137" t="n">
        <v>0.1</v>
      </c>
      <c r="R476" s="108" t="inlineStr">
        <is>
          <t>Q3 deal - Website channel</t>
        </is>
      </c>
    </row>
    <row r="477" ht="15" customHeight="1" s="77">
      <c r="A477" s="117" t="inlineStr">
        <is>
          <t>2025-08-22</t>
        </is>
      </c>
      <c r="B477" s="117" t="inlineStr">
        <is>
          <t>August</t>
        </is>
      </c>
      <c r="C477" s="117" t="inlineStr">
        <is>
          <t>Chris Wilson</t>
        </is>
      </c>
      <c r="D477" s="117" t="inlineStr">
        <is>
          <t>South</t>
        </is>
      </c>
      <c r="E477" s="117" t="inlineStr">
        <is>
          <t>Product F</t>
        </is>
      </c>
      <c r="F477" s="117" t="inlineStr">
        <is>
          <t>Enterprise</t>
        </is>
      </c>
      <c r="G477" s="118" t="n">
        <v>9</v>
      </c>
      <c r="H477" s="119" t="n">
        <v>449991</v>
      </c>
      <c r="I477" s="119" t="n">
        <v>448544</v>
      </c>
      <c r="J477" s="119" t="n">
        <v>427577</v>
      </c>
      <c r="K477" s="117" t="inlineStr">
        <is>
          <t>Won</t>
        </is>
      </c>
      <c r="L477" s="140" t="n">
        <v>49</v>
      </c>
      <c r="M477" s="117" t="inlineStr">
        <is>
          <t>Rho Corp</t>
        </is>
      </c>
      <c r="N477" s="117" t="inlineStr">
        <is>
          <t>Enterprise (&gt;$200K)</t>
        </is>
      </c>
      <c r="O477" s="117" t="inlineStr">
        <is>
          <t>Partner</t>
        </is>
      </c>
      <c r="P477" s="119">
        <f>H477*0.08</f>
        <v/>
      </c>
      <c r="Q477" s="139" t="n">
        <v>0.02</v>
      </c>
      <c r="R477" s="117" t="inlineStr">
        <is>
          <t>Q4 deal - Partner channel</t>
        </is>
      </c>
    </row>
    <row r="478" ht="15" customHeight="1" s="77">
      <c r="A478" s="108" t="inlineStr">
        <is>
          <t>2025-06-04</t>
        </is>
      </c>
      <c r="B478" s="108" t="inlineStr">
        <is>
          <t>June</t>
        </is>
      </c>
      <c r="C478" s="108" t="inlineStr">
        <is>
          <t>Amanda Foster</t>
        </is>
      </c>
      <c r="D478" s="108" t="inlineStr">
        <is>
          <t>Central</t>
        </is>
      </c>
      <c r="E478" s="108" t="inlineStr">
        <is>
          <t>Product G</t>
        </is>
      </c>
      <c r="F478" s="108" t="inlineStr">
        <is>
          <t>SMB</t>
        </is>
      </c>
      <c r="G478" s="109" t="n">
        <v>26</v>
      </c>
      <c r="H478" s="110" t="n">
        <v>519974</v>
      </c>
      <c r="I478" s="110" t="n">
        <v>547299</v>
      </c>
      <c r="J478" s="110" t="n">
        <v>458664</v>
      </c>
      <c r="K478" s="108" t="inlineStr">
        <is>
          <t>Won</t>
        </is>
      </c>
      <c r="L478" s="138" t="n">
        <v>30</v>
      </c>
      <c r="M478" s="108" t="inlineStr">
        <is>
          <t>Sigma Inc</t>
        </is>
      </c>
      <c r="N478" s="108" t="inlineStr">
        <is>
          <t>Enterprise (&gt;$200K)</t>
        </is>
      </c>
      <c r="O478" s="108" t="inlineStr">
        <is>
          <t>Email Campaign</t>
        </is>
      </c>
      <c r="P478" s="110">
        <f>H478*0.08</f>
        <v/>
      </c>
      <c r="Q478" s="137" t="n">
        <v>0.1</v>
      </c>
      <c r="R478" s="108" t="inlineStr">
        <is>
          <t>Q1 deal - Email Campaign channel</t>
        </is>
      </c>
    </row>
    <row r="479" ht="15" customHeight="1" s="77">
      <c r="A479" s="117" t="inlineStr">
        <is>
          <t>2025-04-29</t>
        </is>
      </c>
      <c r="B479" s="117" t="inlineStr">
        <is>
          <t>April</t>
        </is>
      </c>
      <c r="C479" s="117" t="inlineStr">
        <is>
          <t>Robert Taylor</t>
        </is>
      </c>
      <c r="D479" s="117" t="inlineStr">
        <is>
          <t>International</t>
        </is>
      </c>
      <c r="E479" s="117" t="inlineStr">
        <is>
          <t>Product H</t>
        </is>
      </c>
      <c r="F479" s="117" t="inlineStr">
        <is>
          <t>Mid-Market</t>
        </is>
      </c>
      <c r="G479" s="118" t="n">
        <v>26</v>
      </c>
      <c r="H479" s="119" t="n">
        <v>519974</v>
      </c>
      <c r="I479" s="119" t="n">
        <v>513604</v>
      </c>
      <c r="J479" s="119" t="n">
        <v>482852</v>
      </c>
      <c r="K479" s="117" t="inlineStr">
        <is>
          <t>Won</t>
        </is>
      </c>
      <c r="L479" s="140" t="n">
        <v>81</v>
      </c>
      <c r="M479" s="117" t="inlineStr">
        <is>
          <t>Tau LLC</t>
        </is>
      </c>
      <c r="N479" s="117" t="inlineStr">
        <is>
          <t>Enterprise (&gt;$200K)</t>
        </is>
      </c>
      <c r="O479" s="117" t="inlineStr">
        <is>
          <t>Webinar</t>
        </is>
      </c>
      <c r="P479" s="119">
        <f>H479*0.08</f>
        <v/>
      </c>
      <c r="Q479" s="139" t="n">
        <v>0.1</v>
      </c>
      <c r="R479" s="117" t="inlineStr">
        <is>
          <t>Q2 deal - Webinar channel</t>
        </is>
      </c>
    </row>
    <row r="480" ht="15" customHeight="1" s="77">
      <c r="A480" s="108" t="inlineStr">
        <is>
          <t>2025-01-15</t>
        </is>
      </c>
      <c r="B480" s="108" t="inlineStr">
        <is>
          <t>January</t>
        </is>
      </c>
      <c r="C480" s="108" t="inlineStr">
        <is>
          <t>Jennifer Moore</t>
        </is>
      </c>
      <c r="D480" s="108" t="inlineStr">
        <is>
          <t>North</t>
        </is>
      </c>
      <c r="E480" s="108" t="inlineStr">
        <is>
          <t>Product I</t>
        </is>
      </c>
      <c r="F480" s="108" t="inlineStr">
        <is>
          <t>Startup</t>
        </is>
      </c>
      <c r="G480" s="109" t="n">
        <v>22</v>
      </c>
      <c r="H480" s="110" t="n">
        <v>439978</v>
      </c>
      <c r="I480" s="110" t="n">
        <v>521316</v>
      </c>
      <c r="J480" s="110" t="n">
        <v>437241</v>
      </c>
      <c r="K480" s="108" t="inlineStr">
        <is>
          <t>Won</t>
        </is>
      </c>
      <c r="L480" s="138" t="n">
        <v>48</v>
      </c>
      <c r="M480" s="108" t="inlineStr">
        <is>
          <t>Upsilon Ltd</t>
        </is>
      </c>
      <c r="N480" s="108" t="inlineStr">
        <is>
          <t>Enterprise (&gt;$200K)</t>
        </is>
      </c>
      <c r="O480" s="108" t="inlineStr">
        <is>
          <t>SEO</t>
        </is>
      </c>
      <c r="P480" s="110">
        <f>H480*0.08</f>
        <v/>
      </c>
      <c r="Q480" s="137" t="n">
        <v>0.01</v>
      </c>
      <c r="R480" s="108" t="inlineStr">
        <is>
          <t>Q3 deal - SEO channel</t>
        </is>
      </c>
    </row>
    <row r="481" ht="15" customHeight="1" s="77">
      <c r="A481" s="117" t="inlineStr">
        <is>
          <t>2025-02-20</t>
        </is>
      </c>
      <c r="B481" s="117" t="inlineStr">
        <is>
          <t>February</t>
        </is>
      </c>
      <c r="C481" s="117" t="inlineStr">
        <is>
          <t>Daniel Jackson</t>
        </is>
      </c>
      <c r="D481" s="117" t="inlineStr">
        <is>
          <t>West</t>
        </is>
      </c>
      <c r="E481" s="117" t="inlineStr">
        <is>
          <t>Product J</t>
        </is>
      </c>
      <c r="F481" s="117" t="inlineStr">
        <is>
          <t>Government</t>
        </is>
      </c>
      <c r="G481" s="118" t="n">
        <v>3</v>
      </c>
      <c r="H481" s="119" t="n">
        <v>44997</v>
      </c>
      <c r="I481" s="119" t="n">
        <v>40989</v>
      </c>
      <c r="J481" s="119" t="n">
        <v>44615</v>
      </c>
      <c r="K481" s="117" t="inlineStr">
        <is>
          <t>Lost</t>
        </is>
      </c>
      <c r="L481" s="140" t="n">
        <v>42</v>
      </c>
      <c r="M481" s="117" t="inlineStr">
        <is>
          <t>Phi Co</t>
        </is>
      </c>
      <c r="N481" s="117" t="inlineStr">
        <is>
          <t>Medium ($10K-$50K)</t>
        </is>
      </c>
      <c r="O481" s="117" t="inlineStr">
        <is>
          <t>Direct</t>
        </is>
      </c>
      <c r="P481" s="119">
        <f>H481*0.08</f>
        <v/>
      </c>
      <c r="Q481" s="139" t="n">
        <v>0.02</v>
      </c>
      <c r="R481" s="117" t="inlineStr">
        <is>
          <t>Q4 deal - Direct channel</t>
        </is>
      </c>
    </row>
    <row r="482" ht="15" customHeight="1" s="77">
      <c r="A482" s="108" t="inlineStr">
        <is>
          <t>2025-01-22</t>
        </is>
      </c>
      <c r="B482" s="108" t="inlineStr">
        <is>
          <t>January</t>
        </is>
      </c>
      <c r="C482" s="108" t="inlineStr">
        <is>
          <t>Sarah Johnson</t>
        </is>
      </c>
      <c r="D482" s="108" t="inlineStr">
        <is>
          <t>North</t>
        </is>
      </c>
      <c r="E482" s="108" t="inlineStr">
        <is>
          <t>Product A</t>
        </is>
      </c>
      <c r="F482" s="108" t="inlineStr">
        <is>
          <t>Enterprise</t>
        </is>
      </c>
      <c r="G482" s="109" t="n">
        <v>48</v>
      </c>
      <c r="H482" s="110" t="n">
        <v>239952</v>
      </c>
      <c r="I482" s="110" t="n">
        <v>233657</v>
      </c>
      <c r="J482" s="110" t="n">
        <v>246340</v>
      </c>
      <c r="K482" s="108" t="inlineStr">
        <is>
          <t>In Progress</t>
        </is>
      </c>
      <c r="L482" s="138" t="n">
        <v>89</v>
      </c>
      <c r="M482" s="108" t="inlineStr">
        <is>
          <t>Acme Corp</t>
        </is>
      </c>
      <c r="N482" s="108" t="inlineStr">
        <is>
          <t>Enterprise (&gt;$200K)</t>
        </is>
      </c>
      <c r="O482" s="108" t="inlineStr">
        <is>
          <t>Referral</t>
        </is>
      </c>
      <c r="P482" s="110">
        <f>H482*0.08</f>
        <v/>
      </c>
      <c r="Q482" s="137" t="n">
        <v>0.04</v>
      </c>
      <c r="R482" s="108" t="inlineStr">
        <is>
          <t>Q1 deal - Referral channel</t>
        </is>
      </c>
    </row>
    <row r="483" ht="15" customHeight="1" s="77">
      <c r="A483" s="117" t="inlineStr">
        <is>
          <t>2025-12-01</t>
        </is>
      </c>
      <c r="B483" s="117" t="inlineStr">
        <is>
          <t>December</t>
        </is>
      </c>
      <c r="C483" s="117" t="inlineStr">
        <is>
          <t>Mike Chen</t>
        </is>
      </c>
      <c r="D483" s="117" t="inlineStr">
        <is>
          <t>West</t>
        </is>
      </c>
      <c r="E483" s="117" t="inlineStr">
        <is>
          <t>Product B</t>
        </is>
      </c>
      <c r="F483" s="117" t="inlineStr">
        <is>
          <t>SMB</t>
        </is>
      </c>
      <c r="G483" s="118" t="n">
        <v>41</v>
      </c>
      <c r="H483" s="119" t="n">
        <v>614959</v>
      </c>
      <c r="I483" s="119" t="n">
        <v>588677</v>
      </c>
      <c r="J483" s="119" t="n">
        <v>569673</v>
      </c>
      <c r="K483" s="117" t="inlineStr">
        <is>
          <t>In Progress</t>
        </is>
      </c>
      <c r="L483" s="140" t="n">
        <v>76</v>
      </c>
      <c r="M483" s="117" t="inlineStr">
        <is>
          <t>Beta Inc</t>
        </is>
      </c>
      <c r="N483" s="117" t="inlineStr">
        <is>
          <t>Enterprise (&gt;$200K)</t>
        </is>
      </c>
      <c r="O483" s="117" t="inlineStr">
        <is>
          <t>Cold Call</t>
        </is>
      </c>
      <c r="P483" s="119">
        <f>H483*0.08</f>
        <v/>
      </c>
      <c r="Q483" s="139" t="n">
        <v>0.05</v>
      </c>
      <c r="R483" s="117" t="inlineStr">
        <is>
          <t>Q2 deal - Cold Call channel</t>
        </is>
      </c>
    </row>
    <row r="484" ht="15" customHeight="1" s="77">
      <c r="A484" s="108" t="inlineStr">
        <is>
          <t>2025-08-25</t>
        </is>
      </c>
      <c r="B484" s="108" t="inlineStr">
        <is>
          <t>August</t>
        </is>
      </c>
      <c r="C484" s="108" t="inlineStr">
        <is>
          <t>Priya Sharma</t>
        </is>
      </c>
      <c r="D484" s="108" t="inlineStr">
        <is>
          <t>East</t>
        </is>
      </c>
      <c r="E484" s="108" t="inlineStr">
        <is>
          <t>Product C</t>
        </is>
      </c>
      <c r="F484" s="108" t="inlineStr">
        <is>
          <t>Mid-Market</t>
        </is>
      </c>
      <c r="G484" s="109" t="n">
        <v>9</v>
      </c>
      <c r="H484" s="110" t="n">
        <v>89991</v>
      </c>
      <c r="I484" s="110" t="n">
        <v>89226</v>
      </c>
      <c r="J484" s="110" t="n">
        <v>97271</v>
      </c>
      <c r="K484" s="108" t="inlineStr">
        <is>
          <t>Won</t>
        </is>
      </c>
      <c r="L484" s="138" t="n">
        <v>68</v>
      </c>
      <c r="M484" s="108" t="inlineStr">
        <is>
          <t>Gamma LLC</t>
        </is>
      </c>
      <c r="N484" s="108" t="inlineStr">
        <is>
          <t>Large ($50K-$200K)</t>
        </is>
      </c>
      <c r="O484" s="108" t="inlineStr">
        <is>
          <t>LinkedIn</t>
        </is>
      </c>
      <c r="P484" s="110">
        <f>H484*0.08</f>
        <v/>
      </c>
      <c r="Q484" s="137" t="n">
        <v>0.13</v>
      </c>
      <c r="R484" s="108" t="inlineStr">
        <is>
          <t>Q3 deal - LinkedIn channel</t>
        </is>
      </c>
    </row>
    <row r="485" ht="15" customHeight="1" s="77">
      <c r="A485" s="117" t="inlineStr">
        <is>
          <t>2025-10-21</t>
        </is>
      </c>
      <c r="B485" s="117" t="inlineStr">
        <is>
          <t>October</t>
        </is>
      </c>
      <c r="C485" s="117" t="inlineStr">
        <is>
          <t>James Williams</t>
        </is>
      </c>
      <c r="D485" s="117" t="inlineStr">
        <is>
          <t>South</t>
        </is>
      </c>
      <c r="E485" s="117" t="inlineStr">
        <is>
          <t>Product D</t>
        </is>
      </c>
      <c r="F485" s="117" t="inlineStr">
        <is>
          <t>Startup</t>
        </is>
      </c>
      <c r="G485" s="118" t="n">
        <v>14</v>
      </c>
      <c r="H485" s="119" t="n">
        <v>111986</v>
      </c>
      <c r="I485" s="119" t="n">
        <v>105090</v>
      </c>
      <c r="J485" s="119" t="n">
        <v>104519</v>
      </c>
      <c r="K485" s="117" t="inlineStr">
        <is>
          <t>Won</t>
        </is>
      </c>
      <c r="L485" s="140" t="n">
        <v>91</v>
      </c>
      <c r="M485" s="117" t="inlineStr">
        <is>
          <t>Delta Ltd</t>
        </is>
      </c>
      <c r="N485" s="117" t="inlineStr">
        <is>
          <t>Large ($50K-$200K)</t>
        </is>
      </c>
      <c r="O485" s="117" t="inlineStr">
        <is>
          <t>Trade Show</t>
        </is>
      </c>
      <c r="P485" s="119">
        <f>H485*0.08</f>
        <v/>
      </c>
      <c r="Q485" s="139" t="n">
        <v>0.12</v>
      </c>
      <c r="R485" s="117" t="inlineStr">
        <is>
          <t>Q4 deal - Trade Show channel</t>
        </is>
      </c>
    </row>
    <row r="486" ht="15" customHeight="1" s="77">
      <c r="A486" s="108" t="inlineStr">
        <is>
          <t>2025-11-07</t>
        </is>
      </c>
      <c r="B486" s="108" t="inlineStr">
        <is>
          <t>November</t>
        </is>
      </c>
      <c r="C486" s="108" t="inlineStr">
        <is>
          <t>Emily Davis</t>
        </is>
      </c>
      <c r="D486" s="108" t="inlineStr">
        <is>
          <t>Central</t>
        </is>
      </c>
      <c r="E486" s="108" t="inlineStr">
        <is>
          <t>Product E</t>
        </is>
      </c>
      <c r="F486" s="108" t="inlineStr">
        <is>
          <t>Government</t>
        </is>
      </c>
      <c r="G486" s="109" t="n">
        <v>12</v>
      </c>
      <c r="H486" s="110" t="n">
        <v>95988</v>
      </c>
      <c r="I486" s="110" t="n">
        <v>105897</v>
      </c>
      <c r="J486" s="110" t="n">
        <v>85596</v>
      </c>
      <c r="K486" s="108" t="inlineStr">
        <is>
          <t>Won</t>
        </is>
      </c>
      <c r="L486" s="138" t="n">
        <v>23</v>
      </c>
      <c r="M486" s="108" t="inlineStr">
        <is>
          <t>Epsilon Co</t>
        </is>
      </c>
      <c r="N486" s="108" t="inlineStr">
        <is>
          <t>Large ($50K-$200K)</t>
        </is>
      </c>
      <c r="O486" s="108" t="inlineStr">
        <is>
          <t>Website</t>
        </is>
      </c>
      <c r="P486" s="110">
        <f>H486*0.08</f>
        <v/>
      </c>
      <c r="Q486" s="137" t="n">
        <v>0.01</v>
      </c>
      <c r="R486" s="108" t="inlineStr">
        <is>
          <t>Q1 deal - Website channel</t>
        </is>
      </c>
    </row>
    <row r="487" ht="15" customHeight="1" s="77">
      <c r="A487" s="117" t="inlineStr">
        <is>
          <t>2025-07-13</t>
        </is>
      </c>
      <c r="B487" s="117" t="inlineStr">
        <is>
          <t>July</t>
        </is>
      </c>
      <c r="C487" s="117" t="inlineStr">
        <is>
          <t>Carlos Ruiz</t>
        </is>
      </c>
      <c r="D487" s="117" t="inlineStr">
        <is>
          <t>International</t>
        </is>
      </c>
      <c r="E487" s="117" t="inlineStr">
        <is>
          <t>Product F</t>
        </is>
      </c>
      <c r="F487" s="117" t="inlineStr">
        <is>
          <t>Enterprise</t>
        </is>
      </c>
      <c r="G487" s="118" t="n">
        <v>48</v>
      </c>
      <c r="H487" s="119" t="n">
        <v>2399952</v>
      </c>
      <c r="I487" s="119" t="n">
        <v>2392012</v>
      </c>
      <c r="J487" s="119" t="n">
        <v>2099566</v>
      </c>
      <c r="K487" s="117" t="inlineStr">
        <is>
          <t>Won</t>
        </is>
      </c>
      <c r="L487" s="140" t="n">
        <v>106</v>
      </c>
      <c r="M487" s="117" t="inlineStr">
        <is>
          <t>Zeta Corp</t>
        </is>
      </c>
      <c r="N487" s="117" t="inlineStr">
        <is>
          <t>Enterprise (&gt;$200K)</t>
        </is>
      </c>
      <c r="O487" s="117" t="inlineStr">
        <is>
          <t>Partner</t>
        </is>
      </c>
      <c r="P487" s="119">
        <f>H487*0.08</f>
        <v/>
      </c>
      <c r="Q487" s="139" t="n">
        <v>0.04</v>
      </c>
      <c r="R487" s="117" t="inlineStr">
        <is>
          <t>Q2 deal - Partner channel</t>
        </is>
      </c>
    </row>
    <row r="488" ht="15" customHeight="1" s="77">
      <c r="A488" s="108" t="inlineStr">
        <is>
          <t>2025-10-17</t>
        </is>
      </c>
      <c r="B488" s="108" t="inlineStr">
        <is>
          <t>October</t>
        </is>
      </c>
      <c r="C488" s="108" t="inlineStr">
        <is>
          <t>Lisa Park</t>
        </is>
      </c>
      <c r="D488" s="108" t="inlineStr">
        <is>
          <t>North</t>
        </is>
      </c>
      <c r="E488" s="108" t="inlineStr">
        <is>
          <t>Product G</t>
        </is>
      </c>
      <c r="F488" s="108" t="inlineStr">
        <is>
          <t>SMB</t>
        </is>
      </c>
      <c r="G488" s="109" t="n">
        <v>17</v>
      </c>
      <c r="H488" s="110" t="n">
        <v>254983</v>
      </c>
      <c r="I488" s="110" t="n">
        <v>254789</v>
      </c>
      <c r="J488" s="110" t="n">
        <v>277337</v>
      </c>
      <c r="K488" s="108" t="inlineStr">
        <is>
          <t>Lost</t>
        </is>
      </c>
      <c r="L488" s="138" t="n">
        <v>105</v>
      </c>
      <c r="M488" s="108" t="inlineStr">
        <is>
          <t>Eta Inc</t>
        </is>
      </c>
      <c r="N488" s="108" t="inlineStr">
        <is>
          <t>Enterprise (&gt;$200K)</t>
        </is>
      </c>
      <c r="O488" s="108" t="inlineStr">
        <is>
          <t>Email Campaign</t>
        </is>
      </c>
      <c r="P488" s="110">
        <f>H488*0.08</f>
        <v/>
      </c>
      <c r="Q488" s="137" t="n">
        <v>0</v>
      </c>
      <c r="R488" s="108" t="inlineStr">
        <is>
          <t>Q3 deal - Email Campaign channel</t>
        </is>
      </c>
    </row>
    <row r="489" ht="15" customHeight="1" s="77">
      <c r="A489" s="117" t="inlineStr">
        <is>
          <t>2025-02-24</t>
        </is>
      </c>
      <c r="B489" s="117" t="inlineStr">
        <is>
          <t>February</t>
        </is>
      </c>
      <c r="C489" s="117" t="inlineStr">
        <is>
          <t>Tom Brown</t>
        </is>
      </c>
      <c r="D489" s="117" t="inlineStr">
        <is>
          <t>West</t>
        </is>
      </c>
      <c r="E489" s="117" t="inlineStr">
        <is>
          <t>Product H</t>
        </is>
      </c>
      <c r="F489" s="117" t="inlineStr">
        <is>
          <t>Mid-Market</t>
        </is>
      </c>
      <c r="G489" s="118" t="n">
        <v>10</v>
      </c>
      <c r="H489" s="119" t="n">
        <v>249990</v>
      </c>
      <c r="I489" s="119" t="n">
        <v>242095</v>
      </c>
      <c r="J489" s="119" t="n">
        <v>271066</v>
      </c>
      <c r="K489" s="117" t="inlineStr">
        <is>
          <t>In Progress</t>
        </is>
      </c>
      <c r="L489" s="140" t="n">
        <v>110</v>
      </c>
      <c r="M489" s="117" t="inlineStr">
        <is>
          <t>Theta LLC</t>
        </is>
      </c>
      <c r="N489" s="117" t="inlineStr">
        <is>
          <t>Enterprise (&gt;$200K)</t>
        </is>
      </c>
      <c r="O489" s="117" t="inlineStr">
        <is>
          <t>Webinar</t>
        </is>
      </c>
      <c r="P489" s="119">
        <f>H489*0.08</f>
        <v/>
      </c>
      <c r="Q489" s="139" t="n">
        <v>0.14</v>
      </c>
      <c r="R489" s="117" t="inlineStr">
        <is>
          <t>Q4 deal - Webinar channel</t>
        </is>
      </c>
    </row>
    <row r="490" ht="15" customHeight="1" s="77">
      <c r="A490" s="108" t="inlineStr">
        <is>
          <t>2025-12-06</t>
        </is>
      </c>
      <c r="B490" s="108" t="inlineStr">
        <is>
          <t>December</t>
        </is>
      </c>
      <c r="C490" s="108" t="inlineStr">
        <is>
          <t>Anna Schmidt</t>
        </is>
      </c>
      <c r="D490" s="108" t="inlineStr">
        <is>
          <t>East</t>
        </is>
      </c>
      <c r="E490" s="108" t="inlineStr">
        <is>
          <t>Product I</t>
        </is>
      </c>
      <c r="F490" s="108" t="inlineStr">
        <is>
          <t>Startup</t>
        </is>
      </c>
      <c r="G490" s="109" t="n">
        <v>30</v>
      </c>
      <c r="H490" s="110" t="n">
        <v>449970</v>
      </c>
      <c r="I490" s="110" t="n">
        <v>491925</v>
      </c>
      <c r="J490" s="110" t="n">
        <v>457766</v>
      </c>
      <c r="K490" s="108" t="inlineStr">
        <is>
          <t>In Progress</t>
        </is>
      </c>
      <c r="L490" s="138" t="n">
        <v>113</v>
      </c>
      <c r="M490" s="108" t="inlineStr">
        <is>
          <t>Iota Ltd</t>
        </is>
      </c>
      <c r="N490" s="108" t="inlineStr">
        <is>
          <t>Enterprise (&gt;$200K)</t>
        </is>
      </c>
      <c r="O490" s="108" t="inlineStr">
        <is>
          <t>SEO</t>
        </is>
      </c>
      <c r="P490" s="110">
        <f>H490*0.08</f>
        <v/>
      </c>
      <c r="Q490" s="137" t="n">
        <v>0.1</v>
      </c>
      <c r="R490" s="108" t="inlineStr">
        <is>
          <t>Q1 deal - SEO channel</t>
        </is>
      </c>
    </row>
    <row r="491" ht="15" customHeight="1" s="77">
      <c r="A491" s="117" t="inlineStr">
        <is>
          <t>2025-05-09</t>
        </is>
      </c>
      <c r="B491" s="117" t="inlineStr">
        <is>
          <t>May</t>
        </is>
      </c>
      <c r="C491" s="117" t="inlineStr">
        <is>
          <t>David Kim</t>
        </is>
      </c>
      <c r="D491" s="117" t="inlineStr">
        <is>
          <t>South</t>
        </is>
      </c>
      <c r="E491" s="117" t="inlineStr">
        <is>
          <t>Product J</t>
        </is>
      </c>
      <c r="F491" s="117" t="inlineStr">
        <is>
          <t>Government</t>
        </is>
      </c>
      <c r="G491" s="118" t="n">
        <v>33</v>
      </c>
      <c r="H491" s="119" t="n">
        <v>263967</v>
      </c>
      <c r="I491" s="119" t="n">
        <v>265350</v>
      </c>
      <c r="J491" s="119" t="n">
        <v>263658</v>
      </c>
      <c r="K491" s="117" t="inlineStr">
        <is>
          <t>Won</t>
        </is>
      </c>
      <c r="L491" s="140" t="n">
        <v>39</v>
      </c>
      <c r="M491" s="117" t="inlineStr">
        <is>
          <t>Kappa Co</t>
        </is>
      </c>
      <c r="N491" s="117" t="inlineStr">
        <is>
          <t>Enterprise (&gt;$200K)</t>
        </is>
      </c>
      <c r="O491" s="117" t="inlineStr">
        <is>
          <t>Direct</t>
        </is>
      </c>
      <c r="P491" s="119">
        <f>H491*0.08</f>
        <v/>
      </c>
      <c r="Q491" s="139" t="n">
        <v>0.07000000000000001</v>
      </c>
      <c r="R491" s="117" t="inlineStr">
        <is>
          <t>Q2 deal - Direct channel</t>
        </is>
      </c>
    </row>
    <row r="492" ht="15" customHeight="1" s="77">
      <c r="A492" s="108" t="inlineStr">
        <is>
          <t>2025-03-26</t>
        </is>
      </c>
      <c r="B492" s="108" t="inlineStr">
        <is>
          <t>March</t>
        </is>
      </c>
      <c r="C492" s="108" t="inlineStr">
        <is>
          <t>Rachel Green</t>
        </is>
      </c>
      <c r="D492" s="108" t="inlineStr">
        <is>
          <t>Central</t>
        </is>
      </c>
      <c r="E492" s="108" t="inlineStr">
        <is>
          <t>Product A</t>
        </is>
      </c>
      <c r="F492" s="108" t="inlineStr">
        <is>
          <t>Enterprise</t>
        </is>
      </c>
      <c r="G492" s="109" t="n">
        <v>35</v>
      </c>
      <c r="H492" s="110" t="n">
        <v>349965</v>
      </c>
      <c r="I492" s="110" t="n">
        <v>407841</v>
      </c>
      <c r="J492" s="110" t="n">
        <v>370608</v>
      </c>
      <c r="K492" s="108" t="inlineStr">
        <is>
          <t>Won</t>
        </is>
      </c>
      <c r="L492" s="138" t="n">
        <v>91</v>
      </c>
      <c r="M492" s="108" t="inlineStr">
        <is>
          <t>Lambda Corp</t>
        </is>
      </c>
      <c r="N492" s="108" t="inlineStr">
        <is>
          <t>Enterprise (&gt;$200K)</t>
        </is>
      </c>
      <c r="O492" s="108" t="inlineStr">
        <is>
          <t>Referral</t>
        </is>
      </c>
      <c r="P492" s="110">
        <f>H492*0.08</f>
        <v/>
      </c>
      <c r="Q492" s="137" t="n">
        <v>0.05</v>
      </c>
      <c r="R492" s="108" t="inlineStr">
        <is>
          <t>Q3 deal - Referral channel</t>
        </is>
      </c>
    </row>
    <row r="493" ht="15" customHeight="1" s="77">
      <c r="A493" s="117" t="inlineStr">
        <is>
          <t>2025-12-12</t>
        </is>
      </c>
      <c r="B493" s="117" t="inlineStr">
        <is>
          <t>December</t>
        </is>
      </c>
      <c r="C493" s="117" t="inlineStr">
        <is>
          <t>Mark Thompson</t>
        </is>
      </c>
      <c r="D493" s="117" t="inlineStr">
        <is>
          <t>International</t>
        </is>
      </c>
      <c r="E493" s="117" t="inlineStr">
        <is>
          <t>Product B</t>
        </is>
      </c>
      <c r="F493" s="117" t="inlineStr">
        <is>
          <t>SMB</t>
        </is>
      </c>
      <c r="G493" s="118" t="n">
        <v>12</v>
      </c>
      <c r="H493" s="119" t="n">
        <v>359988</v>
      </c>
      <c r="I493" s="119" t="n">
        <v>365872</v>
      </c>
      <c r="J493" s="119" t="n">
        <v>374140</v>
      </c>
      <c r="K493" s="117" t="inlineStr">
        <is>
          <t>Won</t>
        </is>
      </c>
      <c r="L493" s="140" t="n">
        <v>119</v>
      </c>
      <c r="M493" s="117" t="inlineStr">
        <is>
          <t>Mu Inc</t>
        </is>
      </c>
      <c r="N493" s="117" t="inlineStr">
        <is>
          <t>Enterprise (&gt;$200K)</t>
        </is>
      </c>
      <c r="O493" s="117" t="inlineStr">
        <is>
          <t>Cold Call</t>
        </is>
      </c>
      <c r="P493" s="119">
        <f>H493*0.08</f>
        <v/>
      </c>
      <c r="Q493" s="139" t="n">
        <v>0.11</v>
      </c>
      <c r="R493" s="117" t="inlineStr">
        <is>
          <t>Q4 deal - Cold Call channel</t>
        </is>
      </c>
    </row>
    <row r="494" ht="15" customHeight="1" s="77">
      <c r="A494" s="108" t="inlineStr">
        <is>
          <t>2025-02-19</t>
        </is>
      </c>
      <c r="B494" s="108" t="inlineStr">
        <is>
          <t>February</t>
        </is>
      </c>
      <c r="C494" s="108" t="inlineStr">
        <is>
          <t>Susan Lee</t>
        </is>
      </c>
      <c r="D494" s="108" t="inlineStr">
        <is>
          <t>North</t>
        </is>
      </c>
      <c r="E494" s="108" t="inlineStr">
        <is>
          <t>Product C</t>
        </is>
      </c>
      <c r="F494" s="108" t="inlineStr">
        <is>
          <t>Mid-Market</t>
        </is>
      </c>
      <c r="G494" s="109" t="n">
        <v>14</v>
      </c>
      <c r="H494" s="110" t="n">
        <v>699986</v>
      </c>
      <c r="I494" s="110" t="n">
        <v>823393</v>
      </c>
      <c r="J494" s="110" t="n">
        <v>687231</v>
      </c>
      <c r="K494" s="108" t="inlineStr">
        <is>
          <t>Won</t>
        </is>
      </c>
      <c r="L494" s="138" t="n">
        <v>85</v>
      </c>
      <c r="M494" s="108" t="inlineStr">
        <is>
          <t>Nu LLC</t>
        </is>
      </c>
      <c r="N494" s="108" t="inlineStr">
        <is>
          <t>Enterprise (&gt;$200K)</t>
        </is>
      </c>
      <c r="O494" s="108" t="inlineStr">
        <is>
          <t>LinkedIn</t>
        </is>
      </c>
      <c r="P494" s="110">
        <f>H494*0.08</f>
        <v/>
      </c>
      <c r="Q494" s="137" t="n">
        <v>0.05</v>
      </c>
      <c r="R494" s="108" t="inlineStr">
        <is>
          <t>Q1 deal - LinkedIn channel</t>
        </is>
      </c>
    </row>
    <row r="495" ht="15" customHeight="1" s="77">
      <c r="A495" s="117" t="inlineStr">
        <is>
          <t>2025-12-05</t>
        </is>
      </c>
      <c r="B495" s="117" t="inlineStr">
        <is>
          <t>December</t>
        </is>
      </c>
      <c r="C495" s="117" t="inlineStr">
        <is>
          <t>Kevin Martin</t>
        </is>
      </c>
      <c r="D495" s="117" t="inlineStr">
        <is>
          <t>West</t>
        </is>
      </c>
      <c r="E495" s="117" t="inlineStr">
        <is>
          <t>Product D</t>
        </is>
      </c>
      <c r="F495" s="117" t="inlineStr">
        <is>
          <t>Startup</t>
        </is>
      </c>
      <c r="G495" s="118" t="n">
        <v>3</v>
      </c>
      <c r="H495" s="119" t="n">
        <v>59997</v>
      </c>
      <c r="I495" s="119" t="n">
        <v>59913</v>
      </c>
      <c r="J495" s="119" t="n">
        <v>54571</v>
      </c>
      <c r="K495" s="117" t="inlineStr">
        <is>
          <t>Lost</t>
        </is>
      </c>
      <c r="L495" s="140" t="n">
        <v>44</v>
      </c>
      <c r="M495" s="117" t="inlineStr">
        <is>
          <t>Xi Ltd</t>
        </is>
      </c>
      <c r="N495" s="117" t="inlineStr">
        <is>
          <t>Large ($50K-$200K)</t>
        </is>
      </c>
      <c r="O495" s="117" t="inlineStr">
        <is>
          <t>Trade Show</t>
        </is>
      </c>
      <c r="P495" s="119">
        <f>H495*0.08</f>
        <v/>
      </c>
      <c r="Q495" s="139" t="n">
        <v>0.14</v>
      </c>
      <c r="R495" s="117" t="inlineStr">
        <is>
          <t>Q2 deal - Trade Show channel</t>
        </is>
      </c>
    </row>
    <row r="496" ht="15" customHeight="1" s="77">
      <c r="A496" s="108" t="inlineStr">
        <is>
          <t>2025-07-26</t>
        </is>
      </c>
      <c r="B496" s="108" t="inlineStr">
        <is>
          <t>July</t>
        </is>
      </c>
      <c r="C496" s="108" t="inlineStr">
        <is>
          <t>Nina Patel</t>
        </is>
      </c>
      <c r="D496" s="108" t="inlineStr">
        <is>
          <t>East</t>
        </is>
      </c>
      <c r="E496" s="108" t="inlineStr">
        <is>
          <t>Product E</t>
        </is>
      </c>
      <c r="F496" s="108" t="inlineStr">
        <is>
          <t>Government</t>
        </is>
      </c>
      <c r="G496" s="109" t="n">
        <v>42</v>
      </c>
      <c r="H496" s="110" t="n">
        <v>1259958</v>
      </c>
      <c r="I496" s="110" t="n">
        <v>1333918</v>
      </c>
      <c r="J496" s="110" t="n">
        <v>1219841</v>
      </c>
      <c r="K496" s="108" t="inlineStr">
        <is>
          <t>In Progress</t>
        </is>
      </c>
      <c r="L496" s="138" t="n">
        <v>81</v>
      </c>
      <c r="M496" s="108" t="inlineStr">
        <is>
          <t>Pi Co</t>
        </is>
      </c>
      <c r="N496" s="108" t="inlineStr">
        <is>
          <t>Enterprise (&gt;$200K)</t>
        </is>
      </c>
      <c r="O496" s="108" t="inlineStr">
        <is>
          <t>Website</t>
        </is>
      </c>
      <c r="P496" s="110">
        <f>H496*0.08</f>
        <v/>
      </c>
      <c r="Q496" s="137" t="n">
        <v>0.07000000000000001</v>
      </c>
      <c r="R496" s="108" t="inlineStr">
        <is>
          <t>Q3 deal - Website channel</t>
        </is>
      </c>
    </row>
    <row r="497" ht="15" customHeight="1" s="77">
      <c r="A497" s="117" t="inlineStr">
        <is>
          <t>2025-11-02</t>
        </is>
      </c>
      <c r="B497" s="117" t="inlineStr">
        <is>
          <t>November</t>
        </is>
      </c>
      <c r="C497" s="117" t="inlineStr">
        <is>
          <t>Chris Wilson</t>
        </is>
      </c>
      <c r="D497" s="117" t="inlineStr">
        <is>
          <t>South</t>
        </is>
      </c>
      <c r="E497" s="117" t="inlineStr">
        <is>
          <t>Product F</t>
        </is>
      </c>
      <c r="F497" s="117" t="inlineStr">
        <is>
          <t>Enterprise</t>
        </is>
      </c>
      <c r="G497" s="118" t="n">
        <v>11</v>
      </c>
      <c r="H497" s="119" t="n">
        <v>329989</v>
      </c>
      <c r="I497" s="119" t="n">
        <v>377560</v>
      </c>
      <c r="J497" s="119" t="n">
        <v>298282</v>
      </c>
      <c r="K497" s="117" t="inlineStr">
        <is>
          <t>In Progress</t>
        </is>
      </c>
      <c r="L497" s="140" t="n">
        <v>113</v>
      </c>
      <c r="M497" s="117" t="inlineStr">
        <is>
          <t>Rho Corp</t>
        </is>
      </c>
      <c r="N497" s="117" t="inlineStr">
        <is>
          <t>Enterprise (&gt;$200K)</t>
        </is>
      </c>
      <c r="O497" s="117" t="inlineStr">
        <is>
          <t>Partner</t>
        </is>
      </c>
      <c r="P497" s="119">
        <f>H497*0.08</f>
        <v/>
      </c>
      <c r="Q497" s="139" t="n">
        <v>0.07000000000000001</v>
      </c>
      <c r="R497" s="117" t="inlineStr">
        <is>
          <t>Q4 deal - Partner channel</t>
        </is>
      </c>
    </row>
    <row r="498" ht="15" customHeight="1" s="77">
      <c r="A498" s="108" t="inlineStr">
        <is>
          <t>2025-04-02</t>
        </is>
      </c>
      <c r="B498" s="108" t="inlineStr">
        <is>
          <t>April</t>
        </is>
      </c>
      <c r="C498" s="108" t="inlineStr">
        <is>
          <t>Amanda Foster</t>
        </is>
      </c>
      <c r="D498" s="108" t="inlineStr">
        <is>
          <t>Central</t>
        </is>
      </c>
      <c r="E498" s="108" t="inlineStr">
        <is>
          <t>Product G</t>
        </is>
      </c>
      <c r="F498" s="108" t="inlineStr">
        <is>
          <t>SMB</t>
        </is>
      </c>
      <c r="G498" s="109" t="n">
        <v>27</v>
      </c>
      <c r="H498" s="110" t="n">
        <v>134973</v>
      </c>
      <c r="I498" s="110" t="n">
        <v>145756</v>
      </c>
      <c r="J498" s="110" t="n">
        <v>125161</v>
      </c>
      <c r="K498" s="108" t="inlineStr">
        <is>
          <t>Won</t>
        </is>
      </c>
      <c r="L498" s="138" t="n">
        <v>8</v>
      </c>
      <c r="M498" s="108" t="inlineStr">
        <is>
          <t>Sigma Inc</t>
        </is>
      </c>
      <c r="N498" s="108" t="inlineStr">
        <is>
          <t>Large ($50K-$200K)</t>
        </is>
      </c>
      <c r="O498" s="108" t="inlineStr">
        <is>
          <t>Email Campaign</t>
        </is>
      </c>
      <c r="P498" s="110">
        <f>H498*0.08</f>
        <v/>
      </c>
      <c r="Q498" s="137" t="n">
        <v>0.02</v>
      </c>
      <c r="R498" s="108" t="inlineStr">
        <is>
          <t>Q1 deal - Email Campaign channel</t>
        </is>
      </c>
    </row>
    <row r="499" ht="15" customHeight="1" s="77">
      <c r="A499" s="117" t="inlineStr">
        <is>
          <t>2025-10-21</t>
        </is>
      </c>
      <c r="B499" s="117" t="inlineStr">
        <is>
          <t>October</t>
        </is>
      </c>
      <c r="C499" s="117" t="inlineStr">
        <is>
          <t>Robert Taylor</t>
        </is>
      </c>
      <c r="D499" s="117" t="inlineStr">
        <is>
          <t>International</t>
        </is>
      </c>
      <c r="E499" s="117" t="inlineStr">
        <is>
          <t>Product H</t>
        </is>
      </c>
      <c r="F499" s="117" t="inlineStr">
        <is>
          <t>Mid-Market</t>
        </is>
      </c>
      <c r="G499" s="118" t="n">
        <v>5</v>
      </c>
      <c r="H499" s="119" t="n">
        <v>24995</v>
      </c>
      <c r="I499" s="119" t="n">
        <v>25646</v>
      </c>
      <c r="J499" s="119" t="n">
        <v>25705</v>
      </c>
      <c r="K499" s="117" t="inlineStr">
        <is>
          <t>Won</t>
        </is>
      </c>
      <c r="L499" s="140" t="n">
        <v>42</v>
      </c>
      <c r="M499" s="117" t="inlineStr">
        <is>
          <t>Tau LLC</t>
        </is>
      </c>
      <c r="N499" s="117" t="inlineStr">
        <is>
          <t>Medium ($10K-$50K)</t>
        </is>
      </c>
      <c r="O499" s="117" t="inlineStr">
        <is>
          <t>Webinar</t>
        </is>
      </c>
      <c r="P499" s="119">
        <f>H499*0.08</f>
        <v/>
      </c>
      <c r="Q499" s="139" t="n">
        <v>0.12</v>
      </c>
      <c r="R499" s="117" t="inlineStr">
        <is>
          <t>Q2 deal - Webinar channel</t>
        </is>
      </c>
    </row>
    <row r="500" ht="15" customHeight="1" s="77">
      <c r="A500" s="108" t="inlineStr">
        <is>
          <t>2025-06-13</t>
        </is>
      </c>
      <c r="B500" s="108" t="inlineStr">
        <is>
          <t>June</t>
        </is>
      </c>
      <c r="C500" s="108" t="inlineStr">
        <is>
          <t>Jennifer Moore</t>
        </is>
      </c>
      <c r="D500" s="108" t="inlineStr">
        <is>
          <t>North</t>
        </is>
      </c>
      <c r="E500" s="108" t="inlineStr">
        <is>
          <t>Product I</t>
        </is>
      </c>
      <c r="F500" s="108" t="inlineStr">
        <is>
          <t>Startup</t>
        </is>
      </c>
      <c r="G500" s="109" t="n">
        <v>46</v>
      </c>
      <c r="H500" s="110" t="n">
        <v>367954</v>
      </c>
      <c r="I500" s="110" t="n">
        <v>348571</v>
      </c>
      <c r="J500" s="110" t="n">
        <v>388870</v>
      </c>
      <c r="K500" s="108" t="inlineStr">
        <is>
          <t>Won</t>
        </is>
      </c>
      <c r="L500" s="138" t="n">
        <v>81</v>
      </c>
      <c r="M500" s="108" t="inlineStr">
        <is>
          <t>Upsilon Ltd</t>
        </is>
      </c>
      <c r="N500" s="108" t="inlineStr">
        <is>
          <t>Enterprise (&gt;$200K)</t>
        </is>
      </c>
      <c r="O500" s="108" t="inlineStr">
        <is>
          <t>SEO</t>
        </is>
      </c>
      <c r="P500" s="110">
        <f>H500*0.08</f>
        <v/>
      </c>
      <c r="Q500" s="137" t="n">
        <v>0.11</v>
      </c>
      <c r="R500" s="108" t="inlineStr">
        <is>
          <t>Q3 deal - SEO channel</t>
        </is>
      </c>
    </row>
    <row r="501" ht="15" customHeight="1" s="77">
      <c r="A501" s="117" t="inlineStr">
        <is>
          <t>2025-06-11</t>
        </is>
      </c>
      <c r="B501" s="117" t="inlineStr">
        <is>
          <t>June</t>
        </is>
      </c>
      <c r="C501" s="117" t="inlineStr">
        <is>
          <t>Daniel Jackson</t>
        </is>
      </c>
      <c r="D501" s="117" t="inlineStr">
        <is>
          <t>West</t>
        </is>
      </c>
      <c r="E501" s="117" t="inlineStr">
        <is>
          <t>Product J</t>
        </is>
      </c>
      <c r="F501" s="117" t="inlineStr">
        <is>
          <t>Government</t>
        </is>
      </c>
      <c r="G501" s="118" t="n">
        <v>15</v>
      </c>
      <c r="H501" s="119" t="n">
        <v>449985</v>
      </c>
      <c r="I501" s="119" t="n">
        <v>417953</v>
      </c>
      <c r="J501" s="119" t="n">
        <v>388038</v>
      </c>
      <c r="K501" s="117" t="inlineStr">
        <is>
          <t>Won</t>
        </is>
      </c>
      <c r="L501" s="140" t="n">
        <v>64</v>
      </c>
      <c r="M501" s="117" t="inlineStr">
        <is>
          <t>Phi Co</t>
        </is>
      </c>
      <c r="N501" s="117" t="inlineStr">
        <is>
          <t>Enterprise (&gt;$200K)</t>
        </is>
      </c>
      <c r="O501" s="117" t="inlineStr">
        <is>
          <t>Direct</t>
        </is>
      </c>
      <c r="P501" s="119">
        <f>H501*0.08</f>
        <v/>
      </c>
      <c r="Q501" s="139" t="n">
        <v>0.15</v>
      </c>
      <c r="R501" s="117" t="inlineStr">
        <is>
          <t>Q4 deal - Direct channel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76" min="1" max="6"/>
    <col width="16" customWidth="1" style="76" min="7" max="7"/>
    <col width="13" customWidth="1" style="76" min="8" max="8"/>
    <col width="12" customWidth="1" style="76" min="9" max="9"/>
    <col width="11" customWidth="1" style="76" min="10" max="10"/>
    <col width="13" customWidth="1" style="76" min="11" max="11"/>
    <col width="14" customWidth="1" style="76" min="12" max="12"/>
    <col width="13" customWidth="1" style="76" min="13" max="13"/>
    <col width="16" customWidth="1" style="76" min="14" max="14"/>
  </cols>
  <sheetData>
    <row r="1" ht="27.75" customHeight="1" s="77">
      <c r="A1" s="143" t="inlineStr">
        <is>
          <t>MONTHLY REVENUE ANALYSIS  |  FY 2025</t>
        </is>
      </c>
    </row>
    <row r="2" ht="15" customHeight="1" s="77">
      <c r="A2" s="100" t="inlineStr">
        <is>
          <t>Month</t>
        </is>
      </c>
      <c r="B2" s="100" t="inlineStr">
        <is>
          <t>North</t>
        </is>
      </c>
      <c r="C2" s="100" t="inlineStr">
        <is>
          <t>South</t>
        </is>
      </c>
      <c r="D2" s="100" t="inlineStr">
        <is>
          <t>East</t>
        </is>
      </c>
      <c r="E2" s="100" t="inlineStr">
        <is>
          <t>West</t>
        </is>
      </c>
      <c r="F2" s="100" t="inlineStr">
        <is>
          <t>Central</t>
        </is>
      </c>
      <c r="G2" s="100" t="inlineStr">
        <is>
          <t>International</t>
        </is>
      </c>
      <c r="H2" s="100" t="inlineStr">
        <is>
          <t>Total</t>
        </is>
      </c>
      <c r="I2" s="100" t="inlineStr">
        <is>
          <t>MoM Change</t>
        </is>
      </c>
      <c r="J2" s="100" t="inlineStr">
        <is>
          <t>vs Budget</t>
        </is>
      </c>
      <c r="K2" s="100" t="inlineStr">
        <is>
          <t>Budget</t>
        </is>
      </c>
      <c r="L2" s="100" t="inlineStr">
        <is>
          <t>Cum Revenue</t>
        </is>
      </c>
      <c r="M2" s="100" t="inlineStr">
        <is>
          <t>Run Rate</t>
        </is>
      </c>
      <c r="N2" s="100" t="inlineStr">
        <is>
          <t>Full Year Fcst</t>
        </is>
      </c>
    </row>
    <row r="3" ht="15.75" customHeight="1" s="77">
      <c r="A3" s="102" t="inlineStr">
        <is>
          <t>Jan</t>
        </is>
      </c>
      <c r="B3" s="110" t="n">
        <v>476647</v>
      </c>
      <c r="C3" s="110" t="n">
        <v>308779</v>
      </c>
      <c r="D3" s="110" t="n">
        <v>549296</v>
      </c>
      <c r="E3" s="110" t="n">
        <v>265037</v>
      </c>
      <c r="F3" s="110" t="n">
        <v>185509</v>
      </c>
      <c r="G3" s="110" t="n">
        <v>355419</v>
      </c>
      <c r="H3" s="104">
        <f>SUM(B3:G3)</f>
        <v/>
      </c>
      <c r="I3" s="144" t="inlineStr">
        <is>
          <t>N/A</t>
        </is>
      </c>
      <c r="J3" s="115">
        <f>IFERROR((H3-K3)/K3,0)</f>
        <v/>
      </c>
      <c r="K3" s="103" t="n">
        <v>920000</v>
      </c>
      <c r="L3" s="103">
        <f>SUM($H$3:H3)</f>
        <v/>
      </c>
      <c r="M3" s="103">
        <f>IFERROR(L3/1*12,0)</f>
        <v/>
      </c>
      <c r="N3" s="103">
        <f>IFERROR(L3+((920000)*(11)),0)</f>
        <v/>
      </c>
    </row>
    <row r="4" ht="15.75" customHeight="1" s="77">
      <c r="A4" s="105" t="inlineStr">
        <is>
          <t>Feb</t>
        </is>
      </c>
      <c r="B4" s="119" t="n">
        <v>442173</v>
      </c>
      <c r="C4" s="119" t="n">
        <v>296867</v>
      </c>
      <c r="D4" s="119" t="n">
        <v>558615</v>
      </c>
      <c r="E4" s="119" t="n">
        <v>256325</v>
      </c>
      <c r="F4" s="119" t="n">
        <v>199377</v>
      </c>
      <c r="G4" s="119" t="n">
        <v>394982</v>
      </c>
      <c r="H4" s="104">
        <f>SUM(B4:G4)</f>
        <v/>
      </c>
      <c r="I4" s="124">
        <f>IFERROR((H4-H3)/H3,0)</f>
        <v/>
      </c>
      <c r="J4" s="124">
        <f>IFERROR((H4-K4)/K4,0)</f>
        <v/>
      </c>
      <c r="K4" s="106" t="n">
        <v>940000</v>
      </c>
      <c r="L4" s="106">
        <f>SUM($H$3:H4)</f>
        <v/>
      </c>
      <c r="M4" s="106">
        <f>IFERROR(L4/2*12,0)</f>
        <v/>
      </c>
      <c r="N4" s="106">
        <f>IFERROR(L4+((940000)*(10)),0)</f>
        <v/>
      </c>
    </row>
    <row r="5" ht="15.75" customHeight="1" s="77">
      <c r="A5" s="102" t="inlineStr">
        <is>
          <t>Mar</t>
        </is>
      </c>
      <c r="B5" s="110" t="n">
        <v>422428</v>
      </c>
      <c r="C5" s="110" t="n">
        <v>299948</v>
      </c>
      <c r="D5" s="110" t="n">
        <v>499007</v>
      </c>
      <c r="E5" s="110" t="n">
        <v>298299</v>
      </c>
      <c r="F5" s="110" t="n">
        <v>178164</v>
      </c>
      <c r="G5" s="110" t="n">
        <v>385966</v>
      </c>
      <c r="H5" s="104">
        <f>SUM(B5:G5)</f>
        <v/>
      </c>
      <c r="I5" s="115">
        <f>IFERROR((H5-H4)/H4,0)</f>
        <v/>
      </c>
      <c r="J5" s="115">
        <f>IFERROR((H5-K5)/K5,0)</f>
        <v/>
      </c>
      <c r="K5" s="103" t="n">
        <v>980000</v>
      </c>
      <c r="L5" s="103">
        <f>SUM($H$3:H5)</f>
        <v/>
      </c>
      <c r="M5" s="103">
        <f>IFERROR(L5/3*12,0)</f>
        <v/>
      </c>
      <c r="N5" s="103">
        <f>IFERROR(L5+((980000)*(9)),0)</f>
        <v/>
      </c>
    </row>
    <row r="6" ht="15.75" customHeight="1" s="77">
      <c r="A6" s="105" t="inlineStr">
        <is>
          <t>Apr</t>
        </is>
      </c>
      <c r="B6" s="119" t="n">
        <v>504188</v>
      </c>
      <c r="C6" s="119" t="n">
        <v>305101</v>
      </c>
      <c r="D6" s="119" t="n">
        <v>508805</v>
      </c>
      <c r="E6" s="119" t="n">
        <v>319899</v>
      </c>
      <c r="F6" s="119" t="n">
        <v>185352</v>
      </c>
      <c r="G6" s="119" t="n">
        <v>401292</v>
      </c>
      <c r="H6" s="104">
        <f>SUM(B6:G6)</f>
        <v/>
      </c>
      <c r="I6" s="124">
        <f>IFERROR((H6-H5)/H5,0)</f>
        <v/>
      </c>
      <c r="J6" s="124">
        <f>IFERROR((H6-K6)/K6,0)</f>
        <v/>
      </c>
      <c r="K6" s="106" t="n">
        <v>1050000</v>
      </c>
      <c r="L6" s="106">
        <f>SUM($H$3:H6)</f>
        <v/>
      </c>
      <c r="M6" s="106">
        <f>IFERROR(L6/4*12,0)</f>
        <v/>
      </c>
      <c r="N6" s="106">
        <f>IFERROR(L6+((1050000)*(8)),0)</f>
        <v/>
      </c>
    </row>
    <row r="7" ht="15.75" customHeight="1" s="77">
      <c r="A7" s="102" t="inlineStr">
        <is>
          <t>May</t>
        </is>
      </c>
      <c r="B7" s="110" t="n">
        <v>488671</v>
      </c>
      <c r="C7" s="110" t="n">
        <v>303338</v>
      </c>
      <c r="D7" s="110" t="n">
        <v>530330</v>
      </c>
      <c r="E7" s="110" t="n">
        <v>306118</v>
      </c>
      <c r="F7" s="110" t="n">
        <v>195877</v>
      </c>
      <c r="G7" s="110" t="n">
        <v>387191</v>
      </c>
      <c r="H7" s="104">
        <f>SUM(B7:G7)</f>
        <v/>
      </c>
      <c r="I7" s="115">
        <f>IFERROR((H7-H6)/H6,0)</f>
        <v/>
      </c>
      <c r="J7" s="115">
        <f>IFERROR((H7-K7)/K7,0)</f>
        <v/>
      </c>
      <c r="K7" s="103" t="n">
        <v>1100000</v>
      </c>
      <c r="L7" s="103">
        <f>SUM($H$3:H7)</f>
        <v/>
      </c>
      <c r="M7" s="103">
        <f>IFERROR(L7/5*12,0)</f>
        <v/>
      </c>
      <c r="N7" s="103">
        <f>IFERROR(L7+((1100000)*(7)),0)</f>
        <v/>
      </c>
    </row>
    <row r="8" ht="15.75" customHeight="1" s="77">
      <c r="A8" s="105" t="inlineStr">
        <is>
          <t>Jun</t>
        </is>
      </c>
      <c r="B8" s="119" t="n">
        <v>505549</v>
      </c>
      <c r="C8" s="119" t="n">
        <v>358793</v>
      </c>
      <c r="D8" s="119" t="n">
        <v>588771</v>
      </c>
      <c r="E8" s="119" t="n">
        <v>313075</v>
      </c>
      <c r="F8" s="119" t="n">
        <v>202486</v>
      </c>
      <c r="G8" s="119" t="n">
        <v>437377</v>
      </c>
      <c r="H8" s="104">
        <f>SUM(B8:G8)</f>
        <v/>
      </c>
      <c r="I8" s="124">
        <f>IFERROR((H8-H7)/H7,0)</f>
        <v/>
      </c>
      <c r="J8" s="124">
        <f>IFERROR((H8-K8)/K8,0)</f>
        <v/>
      </c>
      <c r="K8" s="106" t="n">
        <v>1150000</v>
      </c>
      <c r="L8" s="106">
        <f>SUM($H$3:H8)</f>
        <v/>
      </c>
      <c r="M8" s="106">
        <f>IFERROR(L8/6*12,0)</f>
        <v/>
      </c>
      <c r="N8" s="106">
        <f>IFERROR(L8+((1150000)*(6)),0)</f>
        <v/>
      </c>
    </row>
    <row r="9" ht="15.75" customHeight="1" s="77">
      <c r="A9" s="102" t="inlineStr">
        <is>
          <t>Jul</t>
        </is>
      </c>
      <c r="B9" s="110" t="n">
        <v>455447</v>
      </c>
      <c r="C9" s="110" t="n">
        <v>367003</v>
      </c>
      <c r="D9" s="110" t="n">
        <v>548397</v>
      </c>
      <c r="E9" s="110" t="n">
        <v>308280</v>
      </c>
      <c r="F9" s="110" t="n">
        <v>214070</v>
      </c>
      <c r="G9" s="110" t="n">
        <v>424824</v>
      </c>
      <c r="H9" s="104">
        <f>SUM(B9:G9)</f>
        <v/>
      </c>
      <c r="I9" s="115">
        <f>IFERROR((H9-H8)/H8,0)</f>
        <v/>
      </c>
      <c r="J9" s="115">
        <f>IFERROR((H9-K9)/K9,0)</f>
        <v/>
      </c>
      <c r="K9" s="103" t="n">
        <v>1120000</v>
      </c>
      <c r="L9" s="103">
        <f>SUM($H$3:H9)</f>
        <v/>
      </c>
      <c r="M9" s="103">
        <f>IFERROR(L9/7*12,0)</f>
        <v/>
      </c>
      <c r="N9" s="103">
        <f>IFERROR(L9+((1120000)*(5)),0)</f>
        <v/>
      </c>
    </row>
    <row r="10" ht="15.75" customHeight="1" s="77">
      <c r="A10" s="105" t="inlineStr">
        <is>
          <t>Aug</t>
        </is>
      </c>
      <c r="B10" s="119" t="n">
        <v>514925</v>
      </c>
      <c r="C10" s="119" t="n">
        <v>341776</v>
      </c>
      <c r="D10" s="119" t="n">
        <v>548305</v>
      </c>
      <c r="E10" s="119" t="n">
        <v>328116</v>
      </c>
      <c r="F10" s="119" t="n">
        <v>193576</v>
      </c>
      <c r="G10" s="119" t="n">
        <v>392783</v>
      </c>
      <c r="H10" s="104">
        <f>SUM(B10:G10)</f>
        <v/>
      </c>
      <c r="I10" s="124">
        <f>IFERROR((H10-H9)/H9,0)</f>
        <v/>
      </c>
      <c r="J10" s="124">
        <f>IFERROR((H10-K10)/K10,0)</f>
        <v/>
      </c>
      <c r="K10" s="106" t="n">
        <v>1090000</v>
      </c>
      <c r="L10" s="106">
        <f>SUM($H$3:H10)</f>
        <v/>
      </c>
      <c r="M10" s="106">
        <f>IFERROR(L10/8*12,0)</f>
        <v/>
      </c>
      <c r="N10" s="106">
        <f>IFERROR(L10+((1090000)*(4)),0)</f>
        <v/>
      </c>
    </row>
    <row r="11" ht="15.75" customHeight="1" s="77">
      <c r="A11" s="102" t="inlineStr">
        <is>
          <t>Sep</t>
        </is>
      </c>
      <c r="B11" s="110" t="n">
        <v>472143</v>
      </c>
      <c r="C11" s="110" t="n">
        <v>349080</v>
      </c>
      <c r="D11" s="110" t="n">
        <v>516584</v>
      </c>
      <c r="E11" s="110" t="n">
        <v>281711</v>
      </c>
      <c r="F11" s="110" t="n">
        <v>218516</v>
      </c>
      <c r="G11" s="110" t="n">
        <v>401087</v>
      </c>
      <c r="H11" s="104">
        <f>SUM(B11:G11)</f>
        <v/>
      </c>
      <c r="I11" s="115">
        <f>IFERROR((H11-H10)/H10,0)</f>
        <v/>
      </c>
      <c r="J11" s="115">
        <f>IFERROR((H11-K11)/K11,0)</f>
        <v/>
      </c>
      <c r="K11" s="103" t="n">
        <v>1060000</v>
      </c>
      <c r="L11" s="103">
        <f>SUM($H$3:H11)</f>
        <v/>
      </c>
      <c r="M11" s="103">
        <f>IFERROR(L11/9*12,0)</f>
        <v/>
      </c>
      <c r="N11" s="103">
        <f>IFERROR(L11+((1060000)*(3)),0)</f>
        <v/>
      </c>
    </row>
    <row r="12" ht="15.75" customHeight="1" s="77">
      <c r="A12" s="105" t="inlineStr">
        <is>
          <t>Oct</t>
        </is>
      </c>
      <c r="B12" s="119" t="n">
        <v>566714</v>
      </c>
      <c r="C12" s="119" t="n">
        <v>337097</v>
      </c>
      <c r="D12" s="119" t="n">
        <v>606082</v>
      </c>
      <c r="E12" s="119" t="n">
        <v>333135</v>
      </c>
      <c r="F12" s="119" t="n">
        <v>205315</v>
      </c>
      <c r="G12" s="119" t="n">
        <v>449959</v>
      </c>
      <c r="H12" s="104">
        <f>SUM(B12:G12)</f>
        <v/>
      </c>
      <c r="I12" s="124">
        <f>IFERROR((H12-H11)/H11,0)</f>
        <v/>
      </c>
      <c r="J12" s="124">
        <f>IFERROR((H12-K12)/K12,0)</f>
        <v/>
      </c>
      <c r="K12" s="106" t="n">
        <v>1030000</v>
      </c>
      <c r="L12" s="106">
        <f>SUM($H$3:H12)</f>
        <v/>
      </c>
      <c r="M12" s="106">
        <f>IFERROR(L12/10*12,0)</f>
        <v/>
      </c>
      <c r="N12" s="106">
        <f>IFERROR(L12+((1030000)*(2)),0)</f>
        <v/>
      </c>
    </row>
    <row r="13" ht="15.75" customHeight="1" s="77">
      <c r="A13" s="102" t="inlineStr">
        <is>
          <t>Nov</t>
        </is>
      </c>
      <c r="B13" s="110" t="n">
        <v>524799</v>
      </c>
      <c r="C13" s="110" t="n">
        <v>342145</v>
      </c>
      <c r="D13" s="110" t="n">
        <v>617075</v>
      </c>
      <c r="E13" s="110" t="n">
        <v>343139</v>
      </c>
      <c r="F13" s="110" t="n">
        <v>213025</v>
      </c>
      <c r="G13" s="110" t="n">
        <v>440902</v>
      </c>
      <c r="H13" s="104">
        <f>SUM(B13:G13)</f>
        <v/>
      </c>
      <c r="I13" s="115">
        <f>IFERROR((H13-H12)/H12,0)</f>
        <v/>
      </c>
      <c r="J13" s="115">
        <f>IFERROR((H13-K13)/K13,0)</f>
        <v/>
      </c>
      <c r="K13" s="103" t="n">
        <v>1000000</v>
      </c>
      <c r="L13" s="103">
        <f>SUM($H$3:H13)</f>
        <v/>
      </c>
      <c r="M13" s="103">
        <f>IFERROR(L13/11*12,0)</f>
        <v/>
      </c>
      <c r="N13" s="103">
        <f>IFERROR(L13+((1000000)*(1)),0)</f>
        <v/>
      </c>
    </row>
    <row r="14" ht="15.75" customHeight="1" s="77">
      <c r="A14" s="105" t="inlineStr">
        <is>
          <t>Dec</t>
        </is>
      </c>
      <c r="B14" s="119" t="n">
        <v>489059</v>
      </c>
      <c r="C14" s="119" t="n">
        <v>361774</v>
      </c>
      <c r="D14" s="119" t="n">
        <v>554266</v>
      </c>
      <c r="E14" s="119" t="n">
        <v>336096</v>
      </c>
      <c r="F14" s="119" t="n">
        <v>217998</v>
      </c>
      <c r="G14" s="119" t="n">
        <v>425521</v>
      </c>
      <c r="H14" s="104">
        <f>SUM(B14:G14)</f>
        <v/>
      </c>
      <c r="I14" s="124">
        <f>IFERROR((H14-H13)/H13,0)</f>
        <v/>
      </c>
      <c r="J14" s="124">
        <f>IFERROR((H14-K14)/K14,0)</f>
        <v/>
      </c>
      <c r="K14" s="106" t="n">
        <v>980000</v>
      </c>
      <c r="L14" s="106">
        <f>SUM($H$3:H14)</f>
        <v/>
      </c>
      <c r="M14" s="106">
        <f>IFERROR(L14/12*12,0)</f>
        <v/>
      </c>
      <c r="N14" s="106">
        <f>IFERROR(L14+((980000)*(0)),0)</f>
        <v/>
      </c>
    </row>
    <row r="15" ht="15" customHeight="1" s="77">
      <c r="A15" s="101" t="inlineStr">
        <is>
          <t>FULL YEAR</t>
        </is>
      </c>
      <c r="B15" s="107">
        <f>SUM(B3:B14)</f>
        <v/>
      </c>
      <c r="C15" s="107">
        <f>SUM(C3:C14)</f>
        <v/>
      </c>
      <c r="D15" s="107">
        <f>SUM(D3:D14)</f>
        <v/>
      </c>
      <c r="E15" s="107">
        <f>SUM(E3:E14)</f>
        <v/>
      </c>
      <c r="F15" s="107">
        <f>SUM(F3:F14)</f>
        <v/>
      </c>
      <c r="G15" s="107">
        <f>SUM(G3:G14)</f>
        <v/>
      </c>
      <c r="H15" s="107">
        <f>SUM(H3:H14)</f>
        <v/>
      </c>
      <c r="I15" s="107" t="n"/>
      <c r="J15" s="107" t="n"/>
      <c r="K15" s="107" t="n"/>
      <c r="L15" s="107" t="n"/>
      <c r="M15" s="107" t="n"/>
      <c r="N15" s="107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6" min="1" max="1"/>
    <col width="14" customWidth="1" style="76" min="2" max="2"/>
    <col width="11" customWidth="1" style="76" min="3" max="6"/>
    <col width="12" customWidth="1" style="76" min="7" max="7"/>
    <col width="13" customWidth="1" style="76" min="8" max="8"/>
    <col width="14" customWidth="1" style="76" min="9" max="9"/>
    <col width="13" customWidth="1" style="76" min="10" max="10"/>
    <col width="14" customWidth="1" style="76" min="11" max="12"/>
  </cols>
  <sheetData>
    <row r="1" ht="27.75" customHeight="1" s="77">
      <c r="A1" s="143" t="inlineStr">
        <is>
          <t>PRODUCT DEEP DIVE  |  Revenue, Units, Margin &amp; Growth Analysis</t>
        </is>
      </c>
    </row>
    <row r="2" ht="15" customHeight="1" s="77">
      <c r="A2" s="100" t="inlineStr">
        <is>
          <t>Product</t>
        </is>
      </c>
      <c r="B2" s="100" t="inlineStr">
        <is>
          <t>Category</t>
        </is>
      </c>
      <c r="C2" s="100" t="inlineStr">
        <is>
          <t>Q1 Units</t>
        </is>
      </c>
      <c r="D2" s="100" t="inlineStr">
        <is>
          <t>Q2 Units</t>
        </is>
      </c>
      <c r="E2" s="100" t="inlineStr">
        <is>
          <t>Q3 Units</t>
        </is>
      </c>
      <c r="F2" s="100" t="inlineStr">
        <is>
          <t>Q4 Units</t>
        </is>
      </c>
      <c r="G2" s="100" t="inlineStr">
        <is>
          <t>Total Units</t>
        </is>
      </c>
      <c r="H2" s="100" t="inlineStr">
        <is>
          <t>Avg Sell Price</t>
        </is>
      </c>
      <c r="I2" s="100" t="inlineStr">
        <is>
          <t>Total Revenue</t>
        </is>
      </c>
      <c r="J2" s="100" t="inlineStr">
        <is>
          <t>COGS (est)</t>
        </is>
      </c>
      <c r="K2" s="100" t="inlineStr">
        <is>
          <t>Gross Profit</t>
        </is>
      </c>
      <c r="L2" s="100" t="inlineStr">
        <is>
          <t>Gross Margin%</t>
        </is>
      </c>
    </row>
    <row r="3" ht="15.75" customHeight="1" s="77">
      <c r="A3" s="108" t="inlineStr">
        <is>
          <t>Product A</t>
        </is>
      </c>
      <c r="B3" s="108" t="inlineStr">
        <is>
          <t>Software</t>
        </is>
      </c>
      <c r="C3" s="109" t="n">
        <v>407</v>
      </c>
      <c r="D3" s="109" t="n">
        <v>444</v>
      </c>
      <c r="E3" s="109" t="n">
        <v>481</v>
      </c>
      <c r="F3" s="109" t="n">
        <v>518</v>
      </c>
      <c r="G3" s="145">
        <f>SUM(C3:F3)</f>
        <v/>
      </c>
      <c r="H3" s="103" t="n">
        <v>500</v>
      </c>
      <c r="I3" s="104">
        <f>G3*H3</f>
        <v/>
      </c>
      <c r="J3" s="103" t="n">
        <v>296000</v>
      </c>
      <c r="K3" s="128">
        <f>I3-J3</f>
        <v/>
      </c>
      <c r="L3" s="141">
        <f>IFERROR(K3/I3,0)</f>
        <v/>
      </c>
    </row>
    <row r="4" ht="15.75" customHeight="1" s="77">
      <c r="A4" s="117" t="inlineStr">
        <is>
          <t>Product B</t>
        </is>
      </c>
      <c r="B4" s="117" t="inlineStr">
        <is>
          <t>Hardware</t>
        </is>
      </c>
      <c r="C4" s="118" t="n">
        <v>312</v>
      </c>
      <c r="D4" s="118" t="n">
        <v>340</v>
      </c>
      <c r="E4" s="118" t="n">
        <v>369</v>
      </c>
      <c r="F4" s="118" t="n">
        <v>397</v>
      </c>
      <c r="G4" s="145">
        <f>SUM(C4:F4)</f>
        <v/>
      </c>
      <c r="H4" s="106" t="n">
        <v>500</v>
      </c>
      <c r="I4" s="104">
        <f>G4*H4</f>
        <v/>
      </c>
      <c r="J4" s="106" t="n">
        <v>390500</v>
      </c>
      <c r="K4" s="132">
        <f>I4-J4</f>
        <v/>
      </c>
      <c r="L4" s="142">
        <f>IFERROR(K4/I4,0)</f>
        <v/>
      </c>
    </row>
    <row r="5" ht="15.75" customHeight="1" s="77">
      <c r="A5" s="108" t="inlineStr">
        <is>
          <t>Product C</t>
        </is>
      </c>
      <c r="B5" s="108" t="inlineStr">
        <is>
          <t>Service</t>
        </is>
      </c>
      <c r="C5" s="109" t="n">
        <v>462</v>
      </c>
      <c r="D5" s="109" t="n">
        <v>504</v>
      </c>
      <c r="E5" s="109" t="n">
        <v>546</v>
      </c>
      <c r="F5" s="109" t="n">
        <v>588</v>
      </c>
      <c r="G5" s="145">
        <f>SUM(C5:F5)</f>
        <v/>
      </c>
      <c r="H5" s="103" t="n">
        <v>500</v>
      </c>
      <c r="I5" s="104">
        <f>G5*H5</f>
        <v/>
      </c>
      <c r="J5" s="103" t="n">
        <v>262500</v>
      </c>
      <c r="K5" s="128">
        <f>I5-J5</f>
        <v/>
      </c>
      <c r="L5" s="141">
        <f>IFERROR(K5/I5,0)</f>
        <v/>
      </c>
    </row>
    <row r="6" ht="15.75" customHeight="1" s="77">
      <c r="A6" s="117" t="inlineStr">
        <is>
          <t>Product D</t>
        </is>
      </c>
      <c r="B6" s="117" t="inlineStr">
        <is>
          <t>Software</t>
        </is>
      </c>
      <c r="C6" s="118" t="n">
        <v>215</v>
      </c>
      <c r="D6" s="118" t="n">
        <v>235</v>
      </c>
      <c r="E6" s="118" t="n">
        <v>254</v>
      </c>
      <c r="F6" s="118" t="n">
        <v>274</v>
      </c>
      <c r="G6" s="145">
        <f>SUM(C6:F6)</f>
        <v/>
      </c>
      <c r="H6" s="106" t="n">
        <v>500</v>
      </c>
      <c r="I6" s="104">
        <f>G6*H6</f>
        <v/>
      </c>
      <c r="J6" s="106" t="n">
        <v>186200</v>
      </c>
      <c r="K6" s="132">
        <f>I6-J6</f>
        <v/>
      </c>
      <c r="L6" s="142">
        <f>IFERROR(K6/I6,0)</f>
        <v/>
      </c>
    </row>
    <row r="7" ht="15.75" customHeight="1" s="77">
      <c r="A7" s="108" t="inlineStr">
        <is>
          <t>Product E</t>
        </is>
      </c>
      <c r="B7" s="108" t="inlineStr">
        <is>
          <t>Hardware</t>
        </is>
      </c>
      <c r="C7" s="109" t="n">
        <v>367</v>
      </c>
      <c r="D7" s="109" t="n">
        <v>400</v>
      </c>
      <c r="E7" s="109" t="n">
        <v>434</v>
      </c>
      <c r="F7" s="109" t="n">
        <v>467</v>
      </c>
      <c r="G7" s="145">
        <f>SUM(C7:F7)</f>
        <v/>
      </c>
      <c r="H7" s="103" t="n">
        <v>500</v>
      </c>
      <c r="I7" s="104">
        <f>G7*H7</f>
        <v/>
      </c>
      <c r="J7" s="103" t="n">
        <v>501000</v>
      </c>
      <c r="K7" s="128">
        <f>I7-J7</f>
        <v/>
      </c>
      <c r="L7" s="141">
        <f>IFERROR(K7/I7,0)</f>
        <v/>
      </c>
    </row>
    <row r="8" ht="15.75" customHeight="1" s="77">
      <c r="A8" s="117" t="inlineStr">
        <is>
          <t>Product F</t>
        </is>
      </c>
      <c r="B8" s="117" t="inlineStr">
        <is>
          <t>Service</t>
        </is>
      </c>
      <c r="C8" s="118" t="n">
        <v>167</v>
      </c>
      <c r="D8" s="118" t="n">
        <v>182</v>
      </c>
      <c r="E8" s="118" t="n">
        <v>197</v>
      </c>
      <c r="F8" s="118" t="n">
        <v>212</v>
      </c>
      <c r="G8" s="145">
        <f>SUM(C8:F8)</f>
        <v/>
      </c>
      <c r="H8" s="106" t="n">
        <v>500</v>
      </c>
      <c r="I8" s="104">
        <f>G8*H8</f>
        <v/>
      </c>
      <c r="J8" s="106" t="n">
        <v>106400</v>
      </c>
      <c r="K8" s="132">
        <f>I8-J8</f>
        <v/>
      </c>
      <c r="L8" s="142">
        <f>IFERROR(K8/I8,0)</f>
        <v/>
      </c>
    </row>
    <row r="9" ht="15.75" customHeight="1" s="77">
      <c r="A9" s="108" t="inlineStr">
        <is>
          <t>Product G</t>
        </is>
      </c>
      <c r="B9" s="108" t="inlineStr">
        <is>
          <t>Software</t>
        </is>
      </c>
      <c r="C9" s="109" t="n">
        <v>517</v>
      </c>
      <c r="D9" s="109" t="n">
        <v>564</v>
      </c>
      <c r="E9" s="109" t="n">
        <v>611</v>
      </c>
      <c r="F9" s="109" t="n">
        <v>658</v>
      </c>
      <c r="G9" s="145">
        <f>SUM(C9:F9)</f>
        <v/>
      </c>
      <c r="H9" s="103" t="n">
        <v>500</v>
      </c>
      <c r="I9" s="104">
        <f>G9*H9</f>
        <v/>
      </c>
      <c r="J9" s="103" t="n">
        <v>352500</v>
      </c>
      <c r="K9" s="128">
        <f>I9-J9</f>
        <v/>
      </c>
      <c r="L9" s="141">
        <f>IFERROR(K9/I9,0)</f>
        <v/>
      </c>
    </row>
    <row r="10" ht="15.75" customHeight="1" s="77">
      <c r="A10" s="117" t="inlineStr">
        <is>
          <t>Product H</t>
        </is>
      </c>
      <c r="B10" s="117" t="inlineStr">
        <is>
          <t>Hardware</t>
        </is>
      </c>
      <c r="C10" s="118" t="n">
        <v>129</v>
      </c>
      <c r="D10" s="118" t="n">
        <v>141</v>
      </c>
      <c r="E10" s="118" t="n">
        <v>153</v>
      </c>
      <c r="F10" s="118" t="n">
        <v>165</v>
      </c>
      <c r="G10" s="145">
        <f>SUM(C10:F10)</f>
        <v/>
      </c>
      <c r="H10" s="106" t="n">
        <v>500</v>
      </c>
      <c r="I10" s="104">
        <f>G10*H10</f>
        <v/>
      </c>
      <c r="J10" s="106" t="n">
        <v>153400</v>
      </c>
      <c r="K10" s="132">
        <f>I10-J10</f>
        <v/>
      </c>
      <c r="L10" s="142">
        <f>IFERROR(K10/I10,0)</f>
        <v/>
      </c>
    </row>
    <row r="11" ht="15.75" customHeight="1" s="77">
      <c r="A11" s="108" t="inlineStr">
        <is>
          <t>Product I</t>
        </is>
      </c>
      <c r="B11" s="108" t="inlineStr">
        <is>
          <t>Service</t>
        </is>
      </c>
      <c r="C11" s="109" t="n">
        <v>246</v>
      </c>
      <c r="D11" s="109" t="n">
        <v>268</v>
      </c>
      <c r="E11" s="109" t="n">
        <v>291</v>
      </c>
      <c r="F11" s="109" t="n">
        <v>313</v>
      </c>
      <c r="G11" s="145">
        <f>SUM(C11:F11)</f>
        <v/>
      </c>
      <c r="H11" s="103" t="n">
        <v>500</v>
      </c>
      <c r="I11" s="104">
        <f>G11*H11</f>
        <v/>
      </c>
      <c r="J11" s="103" t="n">
        <v>123200</v>
      </c>
      <c r="K11" s="128">
        <f>I11-J11</f>
        <v/>
      </c>
      <c r="L11" s="141">
        <f>IFERROR(K11/I11,0)</f>
        <v/>
      </c>
    </row>
    <row r="12" ht="15.75" customHeight="1" s="77">
      <c r="A12" s="117" t="inlineStr">
        <is>
          <t>Product J</t>
        </is>
      </c>
      <c r="B12" s="117" t="inlineStr">
        <is>
          <t>Software</t>
        </is>
      </c>
      <c r="C12" s="118" t="n">
        <v>303</v>
      </c>
      <c r="D12" s="118" t="n">
        <v>331</v>
      </c>
      <c r="E12" s="118" t="n">
        <v>358</v>
      </c>
      <c r="F12" s="118" t="n">
        <v>386</v>
      </c>
      <c r="G12" s="145">
        <f>SUM(C12:F12)</f>
        <v/>
      </c>
      <c r="H12" s="106" t="n">
        <v>500</v>
      </c>
      <c r="I12" s="104">
        <f>G12*H12</f>
        <v/>
      </c>
      <c r="J12" s="106" t="n">
        <v>241500</v>
      </c>
      <c r="K12" s="132">
        <f>I12-J12</f>
        <v/>
      </c>
      <c r="L12" s="142">
        <f>IFERROR(K12/I12,0)</f>
        <v/>
      </c>
    </row>
    <row r="13" ht="15" customHeight="1" s="77">
      <c r="A13" s="101" t="inlineStr">
        <is>
          <t>TOTAL</t>
        </is>
      </c>
      <c r="B13" s="146" t="n"/>
      <c r="C13" s="147">
        <f>SUM(C3:C12)</f>
        <v/>
      </c>
      <c r="D13" s="147">
        <f>SUM(D3:D12)</f>
        <v/>
      </c>
      <c r="E13" s="147">
        <f>SUM(E3:E12)</f>
        <v/>
      </c>
      <c r="F13" s="147">
        <f>SUM(F3:F12)</f>
        <v/>
      </c>
      <c r="G13" s="147">
        <f>SUM(G3:G12)</f>
        <v/>
      </c>
      <c r="H13" s="107">
        <f>SUM(H3:H12)</f>
        <v/>
      </c>
      <c r="I13" s="107">
        <f>SUM(I3:I12)</f>
        <v/>
      </c>
      <c r="J13" s="107">
        <f>SUM(J3:J12)</f>
        <v/>
      </c>
      <c r="K13" s="107">
        <f>SUM(K3:K12)</f>
        <v/>
      </c>
      <c r="L13" s="148">
        <f>IFERROR(K13/I13,0)</f>
        <v/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76" min="1" max="1"/>
    <col width="14" customWidth="1" style="76" min="2" max="2"/>
    <col width="40" customWidth="1" style="76" min="3" max="3"/>
  </cols>
  <sheetData>
    <row r="1" ht="27.75" customHeight="1" s="77">
      <c r="A1" s="149" t="inlineStr">
        <is>
          <t>DASHBOARD SETTINGS &amp; ASSUMPTIONS</t>
        </is>
      </c>
    </row>
    <row r="3" ht="15" customHeight="1" s="77">
      <c r="A3" s="100" t="inlineStr">
        <is>
          <t>Setting</t>
        </is>
      </c>
      <c r="B3" s="100" t="inlineStr">
        <is>
          <t>Value</t>
        </is>
      </c>
      <c r="C3" s="100" t="inlineStr">
        <is>
          <t>Description</t>
        </is>
      </c>
    </row>
    <row r="4" ht="15.75" customHeight="1" s="77">
      <c r="A4" s="102" t="inlineStr">
        <is>
          <t>Commission Rate</t>
        </is>
      </c>
      <c r="B4" s="150" t="n">
        <v>0.08</v>
      </c>
      <c r="C4" s="108" t="inlineStr">
        <is>
          <t>% of revenue paid to reps</t>
        </is>
      </c>
    </row>
    <row r="5" ht="15.75" customHeight="1" s="77">
      <c r="A5" s="105" t="inlineStr">
        <is>
          <t>Revenue Target (Annual)</t>
        </is>
      </c>
      <c r="B5" s="151" t="n">
        <v>12000000</v>
      </c>
      <c r="C5" s="117" t="inlineStr">
        <is>
          <t>Full year company target</t>
        </is>
      </c>
    </row>
    <row r="6" ht="15.75" customHeight="1" s="77">
      <c r="A6" s="102" t="inlineStr">
        <is>
          <t>Growth Rate Assumption</t>
        </is>
      </c>
      <c r="B6" s="150" t="n">
        <v>0.12</v>
      </c>
      <c r="C6" s="108" t="inlineStr">
        <is>
          <t>YoY growth expectation</t>
        </is>
      </c>
    </row>
    <row r="7" ht="15.75" customHeight="1" s="77">
      <c r="A7" s="105" t="inlineStr">
        <is>
          <t>Avg Deal Size Target</t>
        </is>
      </c>
      <c r="B7" s="151" t="n">
        <v>35000</v>
      </c>
      <c r="C7" s="117" t="inlineStr">
        <is>
          <t>Target average deal value</t>
        </is>
      </c>
    </row>
    <row r="8" ht="15.75" customHeight="1" s="77">
      <c r="A8" s="102" t="inlineStr">
        <is>
          <t>Pipeline Coverage Ratio</t>
        </is>
      </c>
      <c r="B8" s="152" t="n">
        <v>3</v>
      </c>
      <c r="C8" s="108" t="inlineStr">
        <is>
          <t>Pipeline / Quota multiplier</t>
        </is>
      </c>
    </row>
    <row r="9" ht="15.75" customHeight="1" s="77">
      <c r="A9" s="105" t="inlineStr">
        <is>
          <t>Win Rate Target</t>
        </is>
      </c>
      <c r="B9" s="150" t="n">
        <v>0.3</v>
      </c>
      <c r="C9" s="117" t="inlineStr">
        <is>
          <t>Expected % of deals won</t>
        </is>
      </c>
    </row>
    <row r="10" ht="15.75" customHeight="1" s="77">
      <c r="A10" s="102" t="inlineStr">
        <is>
          <t>Avg Sales Cycle Target</t>
        </is>
      </c>
      <c r="B10" s="153" t="n">
        <v>45</v>
      </c>
      <c r="C10" s="108" t="inlineStr">
        <is>
          <t>Days from prospect to close</t>
        </is>
      </c>
    </row>
    <row r="11" ht="15.75" customHeight="1" s="77">
      <c r="A11" s="105" t="inlineStr">
        <is>
          <t>Discount Cap</t>
        </is>
      </c>
      <c r="B11" s="150" t="n">
        <v>0.15</v>
      </c>
      <c r="C11" s="117" t="inlineStr">
        <is>
          <t>Max allowable discount %</t>
        </is>
      </c>
    </row>
    <row r="12" ht="15.75" customHeight="1" s="77">
      <c r="A12" s="102" t="inlineStr">
        <is>
          <t>Q1 Weight</t>
        </is>
      </c>
      <c r="B12" s="150" t="n">
        <v>0.22</v>
      </c>
      <c r="C12" s="108" t="inlineStr">
        <is>
          <t>% of annual revenue in Q1</t>
        </is>
      </c>
    </row>
    <row r="13" ht="15.75" customHeight="1" s="77">
      <c r="A13" s="105" t="inlineStr">
        <is>
          <t>Q2 Weight</t>
        </is>
      </c>
      <c r="B13" s="150" t="n">
        <v>0.24</v>
      </c>
      <c r="C13" s="117" t="inlineStr">
        <is>
          <t>% of annual revenue in Q2</t>
        </is>
      </c>
    </row>
    <row r="14" ht="15.75" customHeight="1" s="77">
      <c r="A14" s="102" t="inlineStr">
        <is>
          <t>Q3 Weight</t>
        </is>
      </c>
      <c r="B14" s="150" t="n">
        <v>0.26</v>
      </c>
      <c r="C14" s="108" t="inlineStr">
        <is>
          <t>% of annual revenue in Q3</t>
        </is>
      </c>
    </row>
    <row r="15" ht="15.75" customHeight="1" s="77">
      <c r="A15" s="105" t="inlineStr">
        <is>
          <t>Q4 Weight</t>
        </is>
      </c>
      <c r="B15" s="150" t="n">
        <v>0.28</v>
      </c>
      <c r="C15" s="117" t="inlineStr">
        <is>
          <t>% of annual revenue in Q4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2026-05-11T20:33:34Z</dcterms:created>
  <dcterms:modified xmlns:dcterms="http://purl.org/dc/terms/" xmlns:xsi="http://www.w3.org/2001/XMLSchema-instance" xsi:type="dcterms:W3CDTF">2026-05-12T22:46:32Z</dcterms:modified>
  <cp:revision>0</cp:revision>
</cp:coreProperties>
</file>