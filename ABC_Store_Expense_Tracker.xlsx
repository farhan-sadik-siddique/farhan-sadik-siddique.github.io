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Jan 2026" sheetId="2" state="visible" r:id="rId2"/>
    <sheet xmlns:r="http://schemas.openxmlformats.org/officeDocument/2006/relationships" name="Feb 2026" sheetId="3" state="visible" r:id="rId3"/>
    <sheet xmlns:r="http://schemas.openxmlformats.org/officeDocument/2006/relationships" name="Mar 2026" sheetId="4" state="visible" r:id="rId4"/>
    <sheet xmlns:r="http://schemas.openxmlformats.org/officeDocument/2006/relationships" name="Apr 2026" sheetId="5" state="visible" r:id="rId5"/>
    <sheet xmlns:r="http://schemas.openxmlformats.org/officeDocument/2006/relationships" name="May 2026" sheetId="6" state="visible" r:id="rId6"/>
    <sheet xmlns:r="http://schemas.openxmlformats.org/officeDocument/2006/relationships" name="Jun 2026" sheetId="7" state="visible" r:id="rId7"/>
    <sheet xmlns:r="http://schemas.openxmlformats.org/officeDocument/2006/relationships" name="Category Breakdown" sheetId="8" state="visible" r:id="rId8"/>
    <sheet xmlns:r="http://schemas.openxmlformats.org/officeDocument/2006/relationships" name="YTD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1F3864"/>
      <sz val="8"/>
    </font>
    <font>
      <name val="Arial"/>
      <b val="1"/>
      <color rgb="001F3864"/>
      <sz val="14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FFFFFF"/>
    </font>
    <font>
      <name val="Arial"/>
      <b val="1"/>
      <color rgb="00FFFFFF"/>
      <sz val="14"/>
    </font>
    <font>
      <name val="Arial"/>
      <b val="1"/>
      <color rgb="001F3864"/>
      <sz val="13"/>
    </font>
    <font>
      <name val="Arial"/>
      <b val="1"/>
      <color rgb="001F386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" fontId="5" fillId="5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8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9" fillId="2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1" fontId="10" fillId="5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C0392B"/>
      </font>
      <fill>
        <patternFill patternType="solid">
          <fgColor rgb="00FADBD8"/>
        </patternFill>
      </fill>
    </dxf>
    <dxf>
      <font>
        <b val="1"/>
        <color rgb="001E8449"/>
      </font>
      <fill>
        <patternFill patternType="solid">
          <fgColor rgb="00D5F5E3"/>
        </patternFill>
      </fill>
    </dxf>
    <dxf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</cols>
  <sheetData>
    <row r="1" ht="50" customHeight="1">
      <c r="A1" s="1" t="inlineStr">
        <is>
          <t>ABC Store — Expense Tracker 2026  |  Summary Dashboard</t>
        </is>
      </c>
    </row>
    <row r="2" ht="20" customHeight="1">
      <c r="A2" s="2" t="inlineStr">
        <is>
          <t>Prepared by: Farhan Siddique | Virtual Assistant &amp; Data Specialist | May 2026</t>
        </is>
      </c>
    </row>
    <row r="4" ht="22" customHeight="1">
      <c r="A4" s="3" t="inlineStr">
        <is>
          <t>KEY PERFORMANCE INDICATORS</t>
        </is>
      </c>
    </row>
    <row r="5" ht="18" customHeight="1">
      <c r="A5" s="4" t="inlineStr">
        <is>
          <t>YTD Budget</t>
        </is>
      </c>
      <c r="B5" s="4" t="inlineStr">
        <is>
          <t>YTD Actual</t>
        </is>
      </c>
      <c r="C5" s="4" t="inlineStr">
        <is>
          <t>Total Variance</t>
        </is>
      </c>
      <c r="D5" s="4" t="inlineStr">
        <is>
          <t>Avg Monthly</t>
        </is>
      </c>
      <c r="E5" s="4" t="inlineStr">
        <is>
          <t>Over Budget</t>
        </is>
      </c>
      <c r="F5" s="4" t="inlineStr">
        <is>
          <t>Savings Rate</t>
        </is>
      </c>
    </row>
    <row r="6" ht="32" customHeight="1">
      <c r="A6" s="5">
        <f>SUM(C12:C17)</f>
        <v/>
      </c>
      <c r="B6" s="5">
        <f>SUM(D12:D17)</f>
        <v/>
      </c>
      <c r="C6" s="5">
        <f>D6-C6</f>
        <v/>
      </c>
      <c r="D6" s="5">
        <f>C6/6</f>
        <v/>
      </c>
      <c r="E6" s="6">
        <f>COUNTIF(F12:F17,"Over Budget")</f>
        <v/>
      </c>
      <c r="F6" s="7">
        <f>IF(C6&gt;0,(C6-D6)/C6,0)</f>
        <v/>
      </c>
    </row>
    <row r="7" ht="18" customHeight="1">
      <c r="A7" s="8" t="n"/>
      <c r="B7" s="8" t="n"/>
      <c r="C7" s="8" t="n"/>
      <c r="D7" s="8" t="n"/>
      <c r="E7" s="8" t="n"/>
      <c r="F7" s="8" t="n"/>
    </row>
    <row r="11" ht="22" customHeight="1">
      <c r="A11" s="9" t="inlineStr">
        <is>
          <t>Month</t>
        </is>
      </c>
      <c r="B11" s="9" t="inlineStr">
        <is>
          <t>Days</t>
        </is>
      </c>
      <c r="C11" s="9" t="inlineStr">
        <is>
          <t>Budget ($)</t>
        </is>
      </c>
      <c r="D11" s="9" t="inlineStr">
        <is>
          <t>Actual ($)</t>
        </is>
      </c>
      <c r="E11" s="9" t="inlineStr">
        <is>
          <t>Variance ($)</t>
        </is>
      </c>
      <c r="F11" s="9" t="inlineStr">
        <is>
          <t>Status</t>
        </is>
      </c>
      <c r="G11" s="9" t="inlineStr">
        <is>
          <t>% Used</t>
        </is>
      </c>
      <c r="H11" s="9" t="inlineStr">
        <is>
          <t>Notes</t>
        </is>
      </c>
    </row>
    <row r="12" ht="20" customHeight="1">
      <c r="A12" s="10" t="inlineStr">
        <is>
          <t>January</t>
        </is>
      </c>
      <c r="B12" s="11" t="n">
        <v>31</v>
      </c>
      <c r="C12" s="12" t="n">
        <v>3500</v>
      </c>
      <c r="D12" s="13">
        <f>'Jan 2026'!P3</f>
        <v/>
      </c>
      <c r="E12" s="13">
        <f>D12-C12</f>
        <v/>
      </c>
      <c r="F12" s="14">
        <f>IF(D12&gt;C12,"Over Budget","On Track")</f>
        <v/>
      </c>
      <c r="G12" s="15">
        <f>IF(C12&gt;0,D12/C12,0)</f>
        <v/>
      </c>
      <c r="H12" s="16" t="n"/>
    </row>
    <row r="13" ht="20" customHeight="1">
      <c r="A13" s="10" t="inlineStr">
        <is>
          <t>February</t>
        </is>
      </c>
      <c r="B13" s="11" t="n">
        <v>28</v>
      </c>
      <c r="C13" s="12" t="n">
        <v>3200</v>
      </c>
      <c r="D13" s="13">
        <f>'Feb 2026'!P3</f>
        <v/>
      </c>
      <c r="E13" s="13">
        <f>D13-C13</f>
        <v/>
      </c>
      <c r="F13" s="14">
        <f>IF(D13&gt;C13,"Over Budget","On Track")</f>
        <v/>
      </c>
      <c r="G13" s="15">
        <f>IF(C13&gt;0,D13/C13,0)</f>
        <v/>
      </c>
      <c r="H13" s="16" t="n"/>
    </row>
    <row r="14" ht="20" customHeight="1">
      <c r="A14" s="10" t="inlineStr">
        <is>
          <t>March</t>
        </is>
      </c>
      <c r="B14" s="11" t="n">
        <v>31</v>
      </c>
      <c r="C14" s="12" t="n">
        <v>3300</v>
      </c>
      <c r="D14" s="13">
        <f>'Mar 2026'!P3</f>
        <v/>
      </c>
      <c r="E14" s="13">
        <f>D14-C14</f>
        <v/>
      </c>
      <c r="F14" s="14">
        <f>IF(D14&gt;C14,"Over Budget","On Track")</f>
        <v/>
      </c>
      <c r="G14" s="15">
        <f>IF(C14&gt;0,D14/C14,0)</f>
        <v/>
      </c>
      <c r="H14" s="16" t="n"/>
    </row>
    <row r="15" ht="20" customHeight="1">
      <c r="A15" s="10" t="inlineStr">
        <is>
          <t>April</t>
        </is>
      </c>
      <c r="B15" s="11" t="n">
        <v>30</v>
      </c>
      <c r="C15" s="12" t="n">
        <v>3500</v>
      </c>
      <c r="D15" s="13">
        <f>'Apr 2026'!P3</f>
        <v/>
      </c>
      <c r="E15" s="13">
        <f>D15-C15</f>
        <v/>
      </c>
      <c r="F15" s="14">
        <f>IF(D15&gt;C15,"Over Budget","On Track")</f>
        <v/>
      </c>
      <c r="G15" s="15">
        <f>IF(C15&gt;0,D15/C15,0)</f>
        <v/>
      </c>
      <c r="H15" s="16" t="n"/>
    </row>
    <row r="16" ht="20" customHeight="1">
      <c r="A16" s="10" t="inlineStr">
        <is>
          <t>May</t>
        </is>
      </c>
      <c r="B16" s="11" t="n">
        <v>31</v>
      </c>
      <c r="C16" s="12" t="n">
        <v>3500</v>
      </c>
      <c r="D16" s="13">
        <f>'May 2026'!P3</f>
        <v/>
      </c>
      <c r="E16" s="13">
        <f>D16-C16</f>
        <v/>
      </c>
      <c r="F16" s="14">
        <f>IF(D16&gt;C16,"Over Budget","On Track")</f>
        <v/>
      </c>
      <c r="G16" s="15">
        <f>IF(C16&gt;0,D16/C16,0)</f>
        <v/>
      </c>
      <c r="H16" s="16" t="n"/>
    </row>
    <row r="17" ht="20" customHeight="1">
      <c r="A17" s="10" t="inlineStr">
        <is>
          <t>June</t>
        </is>
      </c>
      <c r="B17" s="11" t="n">
        <v>30</v>
      </c>
      <c r="C17" s="12" t="n">
        <v>3600</v>
      </c>
      <c r="D17" s="13">
        <f>'Jun 2026'!P3</f>
        <v/>
      </c>
      <c r="E17" s="13">
        <f>D17-C17</f>
        <v/>
      </c>
      <c r="F17" s="14">
        <f>IF(D17&gt;C17,"Over Budget","On Track")</f>
        <v/>
      </c>
      <c r="G17" s="15">
        <f>IF(C17&gt;0,D17/C17,0)</f>
        <v/>
      </c>
      <c r="H17" s="16" t="n"/>
    </row>
    <row r="18" ht="22" customHeight="1">
      <c r="A18" s="9" t="inlineStr">
        <is>
          <t>YTD TOTAL</t>
        </is>
      </c>
      <c r="B18" s="9" t="inlineStr"/>
      <c r="C18" s="17">
        <f>SUM(C12:C17)</f>
        <v/>
      </c>
      <c r="D18" s="17">
        <f>SUM(D12:D17)</f>
        <v/>
      </c>
      <c r="E18" s="17">
        <f>SUM(E12:E17)</f>
        <v/>
      </c>
      <c r="F18" s="18" t="n"/>
      <c r="G18" s="18" t="n"/>
      <c r="H18" s="18" t="n"/>
    </row>
  </sheetData>
  <mergeCells count="3">
    <mergeCell ref="A4:H4"/>
    <mergeCell ref="A2:H2"/>
    <mergeCell ref="A1:H1"/>
  </mergeCells>
  <conditionalFormatting sqref="F12:F17">
    <cfRule type="expression" priority="1" dxfId="0">
      <formula>F12="Over Budget"</formula>
    </cfRule>
    <cfRule type="expression" priority="2" dxfId="1">
      <formula>F12="On Track"</formula>
    </cfRule>
  </conditionalFormatting>
  <conditionalFormatting sqref="G12:G1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0" customWidth="1" min="3" max="3"/>
    <col width="16" customWidth="1" min="4" max="4"/>
    <col width="14" customWidth="1" min="5" max="5"/>
    <col width="22" customWidth="1" min="6" max="6"/>
    <col width="16" customWidth="1" min="7" max="7"/>
  </cols>
  <sheetData>
    <row r="1" ht="40" customHeight="1">
      <c r="A1" s="19" t="inlineStr">
        <is>
          <t>ABC Store — January 2026 Detailed Expenses</t>
        </is>
      </c>
    </row>
    <row r="2" ht="18" customHeight="1">
      <c r="A2" s="2" t="inlineStr">
        <is>
          <t>Farhan Siddique | Virtual Assistant &amp; Data Specialist | May 2026</t>
        </is>
      </c>
    </row>
    <row r="3">
      <c r="P3">
        <f>SUM(E8:E25)</f>
        <v/>
      </c>
    </row>
    <row r="4" ht="18" customHeight="1">
      <c r="A4" s="4" t="inlineStr">
        <is>
          <t>Month Budget</t>
        </is>
      </c>
      <c r="B4" s="4" t="inlineStr">
        <is>
          <t>Total Spent</t>
        </is>
      </c>
      <c r="C4" s="4" t="inlineStr">
        <is>
          <t>Remaining</t>
        </is>
      </c>
      <c r="D4" s="4" t="inlineStr">
        <is>
          <t># Transactions</t>
        </is>
      </c>
      <c r="E4" s="4" t="inlineStr">
        <is>
          <t>Avg Transaction</t>
        </is>
      </c>
    </row>
    <row r="5" ht="28" customHeight="1">
      <c r="A5" s="20" t="n">
        <v>3500</v>
      </c>
      <c r="B5" s="20">
        <f>SUM(E8:E60)</f>
        <v/>
      </c>
      <c r="C5" s="20">
        <f>A5-B5</f>
        <v/>
      </c>
      <c r="D5" s="21">
        <f>COUNTA(A8:A60)</f>
        <v/>
      </c>
      <c r="E5" s="20">
        <f>IF(D5&gt;0,B5/D5,0)</f>
        <v/>
      </c>
    </row>
    <row r="7" ht="22" customHeight="1">
      <c r="A7" s="9" t="inlineStr">
        <is>
          <t>Date</t>
        </is>
      </c>
      <c r="B7" s="9" t="inlineStr">
        <is>
          <t>Category</t>
        </is>
      </c>
      <c r="C7" s="9" t="inlineStr">
        <is>
          <t>Description</t>
        </is>
      </c>
      <c r="D7" s="9" t="inlineStr">
        <is>
          <t>Payment Method</t>
        </is>
      </c>
      <c r="E7" s="9" t="inlineStr">
        <is>
          <t>Amount ($)</t>
        </is>
      </c>
      <c r="F7" s="9" t="inlineStr">
        <is>
          <t>Notes</t>
        </is>
      </c>
      <c r="G7" s="9" t="inlineStr">
        <is>
          <t>Cumulative ($)</t>
        </is>
      </c>
    </row>
    <row r="8" ht="18" customHeight="1">
      <c r="A8" s="11" t="inlineStr">
        <is>
          <t>01-Jan-26</t>
        </is>
      </c>
      <c r="B8" s="11" t="inlineStr">
        <is>
          <t>Rent</t>
        </is>
      </c>
      <c r="C8" s="22" t="inlineStr">
        <is>
          <t>Office rent – January</t>
        </is>
      </c>
      <c r="D8" s="11" t="inlineStr">
        <is>
          <t>Bank Transfer</t>
        </is>
      </c>
      <c r="E8" s="12" t="n">
        <v>1200</v>
      </c>
      <c r="F8" s="22" t="inlineStr">
        <is>
          <t>Monthly fixed</t>
        </is>
      </c>
      <c r="G8" s="13">
        <f>SUM($E$8:E8)</f>
        <v/>
      </c>
    </row>
    <row r="9" ht="18" customHeight="1">
      <c r="A9" s="23" t="inlineStr">
        <is>
          <t>02-Jan-26</t>
        </is>
      </c>
      <c r="B9" s="23" t="inlineStr">
        <is>
          <t>Utilities</t>
        </is>
      </c>
      <c r="C9" s="24" t="inlineStr">
        <is>
          <t>Electricity bill</t>
        </is>
      </c>
      <c r="D9" s="23" t="inlineStr">
        <is>
          <t>Bank Transfer</t>
        </is>
      </c>
      <c r="E9" s="25" t="n">
        <v>195.5</v>
      </c>
      <c r="F9" s="24" t="inlineStr"/>
      <c r="G9" s="26">
        <f>SUM($E$8:E9)</f>
        <v/>
      </c>
    </row>
    <row r="10" ht="18" customHeight="1">
      <c r="A10" s="11" t="inlineStr">
        <is>
          <t>03-Jan-26</t>
        </is>
      </c>
      <c r="B10" s="11" t="inlineStr">
        <is>
          <t>Supplies</t>
        </is>
      </c>
      <c r="C10" s="22" t="inlineStr">
        <is>
          <t>Printer paper &amp; toner (bulk)</t>
        </is>
      </c>
      <c r="D10" s="11" t="inlineStr">
        <is>
          <t>Cash</t>
        </is>
      </c>
      <c r="E10" s="12" t="n">
        <v>89.8</v>
      </c>
      <c r="F10" s="22" t="inlineStr"/>
      <c r="G10" s="13">
        <f>SUM($E$8:E10)</f>
        <v/>
      </c>
    </row>
    <row r="11" ht="18" customHeight="1">
      <c r="A11" s="23" t="inlineStr">
        <is>
          <t>05-Jan-26</t>
        </is>
      </c>
      <c r="B11" s="23" t="inlineStr">
        <is>
          <t>Internet</t>
        </is>
      </c>
      <c r="C11" s="24" t="inlineStr">
        <is>
          <t>Broadband – January</t>
        </is>
      </c>
      <c r="D11" s="23" t="inlineStr">
        <is>
          <t>Auto Debit</t>
        </is>
      </c>
      <c r="E11" s="25" t="n">
        <v>49.99</v>
      </c>
      <c r="F11" s="24" t="inlineStr"/>
      <c r="G11" s="26">
        <f>SUM($E$8:E11)</f>
        <v/>
      </c>
    </row>
    <row r="12" ht="18" customHeight="1">
      <c r="A12" s="11" t="inlineStr">
        <is>
          <t>06-Jan-26</t>
        </is>
      </c>
      <c r="B12" s="11" t="inlineStr">
        <is>
          <t>Marketing</t>
        </is>
      </c>
      <c r="C12" s="22" t="inlineStr">
        <is>
          <t>Google Ads campaign</t>
        </is>
      </c>
      <c r="D12" s="11" t="inlineStr">
        <is>
          <t>Credit Card</t>
        </is>
      </c>
      <c r="E12" s="12" t="n">
        <v>200</v>
      </c>
      <c r="F12" s="22" t="inlineStr">
        <is>
          <t>Campaign #08</t>
        </is>
      </c>
      <c r="G12" s="13">
        <f>SUM($E$8:E12)</f>
        <v/>
      </c>
    </row>
    <row r="13" ht="18" customHeight="1">
      <c r="A13" s="23" t="inlineStr">
        <is>
          <t>07-Jan-26</t>
        </is>
      </c>
      <c r="B13" s="23" t="inlineStr">
        <is>
          <t>Salaries</t>
        </is>
      </c>
      <c r="C13" s="24" t="inlineStr">
        <is>
          <t>Part-time staff wage</t>
        </is>
      </c>
      <c r="D13" s="23" t="inlineStr">
        <is>
          <t>Bank Transfer</t>
        </is>
      </c>
      <c r="E13" s="25" t="n">
        <v>600</v>
      </c>
      <c r="F13" s="24" t="inlineStr">
        <is>
          <t>2 staff × 4 days</t>
        </is>
      </c>
      <c r="G13" s="26">
        <f>SUM($E$8:E13)</f>
        <v/>
      </c>
    </row>
    <row r="14" ht="18" customHeight="1">
      <c r="A14" s="11" t="inlineStr">
        <is>
          <t>10-Jan-26</t>
        </is>
      </c>
      <c r="B14" s="11" t="inlineStr">
        <is>
          <t>Equipment</t>
        </is>
      </c>
      <c r="C14" s="22" t="inlineStr">
        <is>
          <t>External hard drive backup</t>
        </is>
      </c>
      <c r="D14" s="11" t="inlineStr">
        <is>
          <t>Cash</t>
        </is>
      </c>
      <c r="E14" s="12" t="n">
        <v>59.99</v>
      </c>
      <c r="F14" s="22" t="inlineStr"/>
      <c r="G14" s="13">
        <f>SUM($E$8:E14)</f>
        <v/>
      </c>
    </row>
    <row r="15" ht="18" customHeight="1">
      <c r="A15" s="23" t="inlineStr">
        <is>
          <t>12-Jan-26</t>
        </is>
      </c>
      <c r="B15" s="23" t="inlineStr">
        <is>
          <t>Supplies</t>
        </is>
      </c>
      <c r="C15" s="24" t="inlineStr">
        <is>
          <t>Cleaning supplies</t>
        </is>
      </c>
      <c r="D15" s="23" t="inlineStr">
        <is>
          <t>Cash</t>
        </is>
      </c>
      <c r="E15" s="25" t="n">
        <v>22.4</v>
      </c>
      <c r="F15" s="24" t="inlineStr"/>
      <c r="G15" s="26">
        <f>SUM($E$8:E15)</f>
        <v/>
      </c>
    </row>
    <row r="16" ht="18" customHeight="1">
      <c r="A16" s="11" t="inlineStr">
        <is>
          <t>14-Jan-26</t>
        </is>
      </c>
      <c r="B16" s="11" t="inlineStr">
        <is>
          <t>Transport</t>
        </is>
      </c>
      <c r="C16" s="22" t="inlineStr">
        <is>
          <t>Delivery – supplier pickup</t>
        </is>
      </c>
      <c r="D16" s="11" t="inlineStr">
        <is>
          <t>Cash</t>
        </is>
      </c>
      <c r="E16" s="12" t="n">
        <v>18</v>
      </c>
      <c r="F16" s="22" t="inlineStr"/>
      <c r="G16" s="13">
        <f>SUM($E$8:E16)</f>
        <v/>
      </c>
    </row>
    <row r="17" ht="18" customHeight="1">
      <c r="A17" s="23" t="inlineStr">
        <is>
          <t>15-Jan-26</t>
        </is>
      </c>
      <c r="B17" s="23" t="inlineStr">
        <is>
          <t>Marketing</t>
        </is>
      </c>
      <c r="C17" s="24" t="inlineStr">
        <is>
          <t>Instagram boost</t>
        </is>
      </c>
      <c r="D17" s="23" t="inlineStr">
        <is>
          <t>Credit Card</t>
        </is>
      </c>
      <c r="E17" s="25" t="n">
        <v>50</v>
      </c>
      <c r="F17" s="24" t="inlineStr"/>
      <c r="G17" s="26">
        <f>SUM($E$8:E17)</f>
        <v/>
      </c>
    </row>
    <row r="18" ht="18" customHeight="1">
      <c r="A18" s="11" t="inlineStr">
        <is>
          <t>18-Jan-26</t>
        </is>
      </c>
      <c r="B18" s="11" t="inlineStr">
        <is>
          <t>Utilities</t>
        </is>
      </c>
      <c r="C18" s="22" t="inlineStr">
        <is>
          <t>Water bill</t>
        </is>
      </c>
      <c r="D18" s="11" t="inlineStr">
        <is>
          <t>Bank Transfer</t>
        </is>
      </c>
      <c r="E18" s="12" t="n">
        <v>38</v>
      </c>
      <c r="F18" s="22" t="inlineStr"/>
      <c r="G18" s="13">
        <f>SUM($E$8:E18)</f>
        <v/>
      </c>
    </row>
    <row r="19" ht="18" customHeight="1">
      <c r="A19" s="23" t="inlineStr">
        <is>
          <t>20-Jan-26</t>
        </is>
      </c>
      <c r="B19" s="23" t="inlineStr">
        <is>
          <t>Supplies</t>
        </is>
      </c>
      <c r="C19" s="24" t="inlineStr">
        <is>
          <t>Stationery restock</t>
        </is>
      </c>
      <c r="D19" s="23" t="inlineStr">
        <is>
          <t>Cash</t>
        </is>
      </c>
      <c r="E19" s="25" t="n">
        <v>31.2</v>
      </c>
      <c r="F19" s="24" t="inlineStr"/>
      <c r="G19" s="26">
        <f>SUM($E$8:E19)</f>
        <v/>
      </c>
    </row>
    <row r="20" ht="18" customHeight="1">
      <c r="A20" s="11" t="inlineStr">
        <is>
          <t>22-Jan-26</t>
        </is>
      </c>
      <c r="B20" s="11" t="inlineStr">
        <is>
          <t>Maintenance</t>
        </is>
      </c>
      <c r="C20" s="22" t="inlineStr">
        <is>
          <t>HVAC filter replacement</t>
        </is>
      </c>
      <c r="D20" s="11" t="inlineStr">
        <is>
          <t>Cash</t>
        </is>
      </c>
      <c r="E20" s="12" t="n">
        <v>45</v>
      </c>
      <c r="F20" s="22" t="inlineStr"/>
      <c r="G20" s="13">
        <f>SUM($E$8:E20)</f>
        <v/>
      </c>
    </row>
    <row r="21" ht="18" customHeight="1">
      <c r="A21" s="23" t="inlineStr">
        <is>
          <t>25-Jan-26</t>
        </is>
      </c>
      <c r="B21" s="23" t="inlineStr">
        <is>
          <t>Transport</t>
        </is>
      </c>
      <c r="C21" s="24" t="inlineStr">
        <is>
          <t>Courier delivery charges</t>
        </is>
      </c>
      <c r="D21" s="23" t="inlineStr">
        <is>
          <t>Cash</t>
        </is>
      </c>
      <c r="E21" s="25" t="n">
        <v>28.5</v>
      </c>
      <c r="F21" s="24" t="inlineStr"/>
      <c r="G21" s="26">
        <f>SUM($E$8:E21)</f>
        <v/>
      </c>
    </row>
    <row r="22" ht="18" customHeight="1">
      <c r="A22" s="11" t="inlineStr">
        <is>
          <t>28-Jan-26</t>
        </is>
      </c>
      <c r="B22" s="11" t="inlineStr">
        <is>
          <t>Miscellaneous</t>
        </is>
      </c>
      <c r="C22" s="22" t="inlineStr">
        <is>
          <t>Staff refreshments</t>
        </is>
      </c>
      <c r="D22" s="11" t="inlineStr">
        <is>
          <t>Cash</t>
        </is>
      </c>
      <c r="E22" s="12" t="n">
        <v>33.12</v>
      </c>
      <c r="F22" s="22" t="inlineStr"/>
      <c r="G22" s="13">
        <f>SUM($E$8:E22)</f>
        <v/>
      </c>
    </row>
    <row r="23" ht="18" customHeight="1">
      <c r="A23" s="23" t="inlineStr">
        <is>
          <t>29-Jan-26</t>
        </is>
      </c>
      <c r="B23" s="23" t="inlineStr">
        <is>
          <t>Insurance</t>
        </is>
      </c>
      <c r="C23" s="24" t="inlineStr">
        <is>
          <t>Business liability premium</t>
        </is>
      </c>
      <c r="D23" s="23" t="inlineStr">
        <is>
          <t>Bank Transfer</t>
        </is>
      </c>
      <c r="E23" s="25" t="n">
        <v>150</v>
      </c>
      <c r="F23" s="24" t="inlineStr">
        <is>
          <t>Monthly</t>
        </is>
      </c>
      <c r="G23" s="26">
        <f>SUM($E$8:E23)</f>
        <v/>
      </c>
    </row>
    <row r="24" ht="18" customHeight="1">
      <c r="A24" s="11" t="inlineStr">
        <is>
          <t>30-Jan-26</t>
        </is>
      </c>
      <c r="B24" s="11" t="inlineStr">
        <is>
          <t>Software</t>
        </is>
      </c>
      <c r="C24" s="22" t="inlineStr">
        <is>
          <t>Accounting software license</t>
        </is>
      </c>
      <c r="D24" s="11" t="inlineStr">
        <is>
          <t>Credit Card</t>
        </is>
      </c>
      <c r="E24" s="12" t="n">
        <v>29.99</v>
      </c>
      <c r="F24" s="22" t="inlineStr"/>
      <c r="G24" s="13">
        <f>SUM($E$8:E24)</f>
        <v/>
      </c>
    </row>
    <row r="25" ht="18" customHeight="1">
      <c r="A25" s="23" t="inlineStr">
        <is>
          <t>31-Jan-26</t>
        </is>
      </c>
      <c r="B25" s="23" t="inlineStr">
        <is>
          <t>Supplies</t>
        </is>
      </c>
      <c r="C25" s="24" t="inlineStr">
        <is>
          <t>Packaging materials</t>
        </is>
      </c>
      <c r="D25" s="23" t="inlineStr">
        <is>
          <t>Cash</t>
        </is>
      </c>
      <c r="E25" s="25" t="n">
        <v>66</v>
      </c>
      <c r="F25" s="24" t="inlineStr">
        <is>
          <t>Bulk order</t>
        </is>
      </c>
      <c r="G25" s="26">
        <f>SUM($E$8:E25)</f>
        <v/>
      </c>
    </row>
    <row r="26" ht="22" customHeight="1">
      <c r="A26" s="9" t="inlineStr"/>
      <c r="B26" s="9" t="inlineStr"/>
      <c r="C26" s="27" t="inlineStr">
        <is>
          <t>MONTH TOTAL</t>
        </is>
      </c>
      <c r="D26" s="9" t="inlineStr"/>
      <c r="E26" s="28">
        <f>SUM(E8:E25)</f>
        <v/>
      </c>
      <c r="F26" s="9" t="inlineStr"/>
      <c r="G26" s="9" t="inlineStr"/>
    </row>
  </sheetData>
  <mergeCells count="2">
    <mergeCell ref="A2:G2"/>
    <mergeCell ref="A1:G1"/>
  </mergeCells>
  <conditionalFormatting sqref="E8:E25">
    <cfRule type="cellIs" priority="1" operator="greaterThan" dxfId="2">
      <formula>200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0" customWidth="1" min="3" max="3"/>
    <col width="16" customWidth="1" min="4" max="4"/>
    <col width="14" customWidth="1" min="5" max="5"/>
    <col width="22" customWidth="1" min="6" max="6"/>
    <col width="16" customWidth="1" min="7" max="7"/>
  </cols>
  <sheetData>
    <row r="1" ht="40" customHeight="1">
      <c r="A1" s="19" t="inlineStr">
        <is>
          <t>ABC Store — February 2026 Detailed Expenses</t>
        </is>
      </c>
    </row>
    <row r="2" ht="18" customHeight="1">
      <c r="A2" s="2" t="inlineStr">
        <is>
          <t>Farhan Siddique | Virtual Assistant &amp; Data Specialist | May 2026</t>
        </is>
      </c>
    </row>
    <row r="3">
      <c r="P3">
        <f>SUM(E8:E25)</f>
        <v/>
      </c>
    </row>
    <row r="4" ht="18" customHeight="1">
      <c r="A4" s="4" t="inlineStr">
        <is>
          <t>Month Budget</t>
        </is>
      </c>
      <c r="B4" s="4" t="inlineStr">
        <is>
          <t>Total Spent</t>
        </is>
      </c>
      <c r="C4" s="4" t="inlineStr">
        <is>
          <t>Remaining</t>
        </is>
      </c>
      <c r="D4" s="4" t="inlineStr">
        <is>
          <t># Transactions</t>
        </is>
      </c>
      <c r="E4" s="4" t="inlineStr">
        <is>
          <t>Avg Transaction</t>
        </is>
      </c>
    </row>
    <row r="5" ht="28" customHeight="1">
      <c r="A5" s="20" t="n">
        <v>3200</v>
      </c>
      <c r="B5" s="20">
        <f>SUM(E8:E60)</f>
        <v/>
      </c>
      <c r="C5" s="20">
        <f>A5-B5</f>
        <v/>
      </c>
      <c r="D5" s="21">
        <f>COUNTA(A8:A60)</f>
        <v/>
      </c>
      <c r="E5" s="20">
        <f>IF(D5&gt;0,B5/D5,0)</f>
        <v/>
      </c>
    </row>
    <row r="7" ht="22" customHeight="1">
      <c r="A7" s="9" t="inlineStr">
        <is>
          <t>Date</t>
        </is>
      </c>
      <c r="B7" s="9" t="inlineStr">
        <is>
          <t>Category</t>
        </is>
      </c>
      <c r="C7" s="9" t="inlineStr">
        <is>
          <t>Description</t>
        </is>
      </c>
      <c r="D7" s="9" t="inlineStr">
        <is>
          <t>Payment Method</t>
        </is>
      </c>
      <c r="E7" s="9" t="inlineStr">
        <is>
          <t>Amount ($)</t>
        </is>
      </c>
      <c r="F7" s="9" t="inlineStr">
        <is>
          <t>Notes</t>
        </is>
      </c>
      <c r="G7" s="9" t="inlineStr">
        <is>
          <t>Cumulative ($)</t>
        </is>
      </c>
    </row>
    <row r="8" ht="18" customHeight="1">
      <c r="A8" s="11" t="inlineStr">
        <is>
          <t>01-Feb-26</t>
        </is>
      </c>
      <c r="B8" s="11" t="inlineStr">
        <is>
          <t>Rent</t>
        </is>
      </c>
      <c r="C8" s="22" t="inlineStr">
        <is>
          <t>Office rent – February</t>
        </is>
      </c>
      <c r="D8" s="11" t="inlineStr">
        <is>
          <t>Bank Transfer</t>
        </is>
      </c>
      <c r="E8" s="12" t="n">
        <v>1200</v>
      </c>
      <c r="F8" s="22" t="inlineStr">
        <is>
          <t>Monthly fixed</t>
        </is>
      </c>
      <c r="G8" s="13">
        <f>SUM($E$8:E8)</f>
        <v/>
      </c>
    </row>
    <row r="9" ht="18" customHeight="1">
      <c r="A9" s="23" t="inlineStr">
        <is>
          <t>02-Feb-26</t>
        </is>
      </c>
      <c r="B9" s="23" t="inlineStr">
        <is>
          <t>Utilities</t>
        </is>
      </c>
      <c r="C9" s="24" t="inlineStr">
        <is>
          <t>Electricity bill</t>
        </is>
      </c>
      <c r="D9" s="23" t="inlineStr">
        <is>
          <t>Bank Transfer</t>
        </is>
      </c>
      <c r="E9" s="25" t="n">
        <v>182</v>
      </c>
      <c r="F9" s="24" t="inlineStr"/>
      <c r="G9" s="26">
        <f>SUM($E$8:E9)</f>
        <v/>
      </c>
    </row>
    <row r="10" ht="18" customHeight="1">
      <c r="A10" s="11" t="inlineStr">
        <is>
          <t>03-Feb-26</t>
        </is>
      </c>
      <c r="B10" s="11" t="inlineStr">
        <is>
          <t>Supplies</t>
        </is>
      </c>
      <c r="C10" s="22" t="inlineStr">
        <is>
          <t>Printer paper – restock</t>
        </is>
      </c>
      <c r="D10" s="11" t="inlineStr">
        <is>
          <t>Cash</t>
        </is>
      </c>
      <c r="E10" s="12" t="n">
        <v>44</v>
      </c>
      <c r="F10" s="22" t="inlineStr"/>
      <c r="G10" s="13">
        <f>SUM($E$8:E10)</f>
        <v/>
      </c>
    </row>
    <row r="11" ht="18" customHeight="1">
      <c r="A11" s="23" t="inlineStr">
        <is>
          <t>05-Feb-26</t>
        </is>
      </c>
      <c r="B11" s="23" t="inlineStr">
        <is>
          <t>Internet</t>
        </is>
      </c>
      <c r="C11" s="24" t="inlineStr">
        <is>
          <t>Broadband – February</t>
        </is>
      </c>
      <c r="D11" s="23" t="inlineStr">
        <is>
          <t>Auto Debit</t>
        </is>
      </c>
      <c r="E11" s="25" t="n">
        <v>49.99</v>
      </c>
      <c r="F11" s="24" t="inlineStr"/>
      <c r="G11" s="26">
        <f>SUM($E$8:E11)</f>
        <v/>
      </c>
    </row>
    <row r="12" ht="18" customHeight="1">
      <c r="A12" s="11" t="inlineStr">
        <is>
          <t>07-Feb-26</t>
        </is>
      </c>
      <c r="B12" s="11" t="inlineStr">
        <is>
          <t>Marketing</t>
        </is>
      </c>
      <c r="C12" s="22" t="inlineStr">
        <is>
          <t>Facebook Ads</t>
        </is>
      </c>
      <c r="D12" s="11" t="inlineStr">
        <is>
          <t>Credit Card</t>
        </is>
      </c>
      <c r="E12" s="12" t="n">
        <v>175</v>
      </c>
      <c r="F12" s="22" t="inlineStr">
        <is>
          <t>Valentine campaign</t>
        </is>
      </c>
      <c r="G12" s="13">
        <f>SUM($E$8:E12)</f>
        <v/>
      </c>
    </row>
    <row r="13" ht="18" customHeight="1">
      <c r="A13" s="23" t="inlineStr">
        <is>
          <t>08-Feb-26</t>
        </is>
      </c>
      <c r="B13" s="23" t="inlineStr">
        <is>
          <t>Salaries</t>
        </is>
      </c>
      <c r="C13" s="24" t="inlineStr">
        <is>
          <t>Part-time staff wage</t>
        </is>
      </c>
      <c r="D13" s="23" t="inlineStr">
        <is>
          <t>Bank Transfer</t>
        </is>
      </c>
      <c r="E13" s="25" t="n">
        <v>600</v>
      </c>
      <c r="F13" s="24" t="inlineStr"/>
      <c r="G13" s="26">
        <f>SUM($E$8:E13)</f>
        <v/>
      </c>
    </row>
    <row r="14" ht="18" customHeight="1">
      <c r="A14" s="11" t="inlineStr">
        <is>
          <t>10-Feb-26</t>
        </is>
      </c>
      <c r="B14" s="11" t="inlineStr">
        <is>
          <t>Equipment</t>
        </is>
      </c>
      <c r="C14" s="22" t="inlineStr">
        <is>
          <t>Label printer ribbons</t>
        </is>
      </c>
      <c r="D14" s="11" t="inlineStr">
        <is>
          <t>Cash</t>
        </is>
      </c>
      <c r="E14" s="12" t="n">
        <v>24.99</v>
      </c>
      <c r="F14" s="22" t="inlineStr"/>
      <c r="G14" s="13">
        <f>SUM($E$8:E14)</f>
        <v/>
      </c>
    </row>
    <row r="15" ht="18" customHeight="1">
      <c r="A15" s="23" t="inlineStr">
        <is>
          <t>12-Feb-26</t>
        </is>
      </c>
      <c r="B15" s="23" t="inlineStr">
        <is>
          <t>Supplies</t>
        </is>
      </c>
      <c r="C15" s="24" t="inlineStr">
        <is>
          <t>Cleaning supplies</t>
        </is>
      </c>
      <c r="D15" s="23" t="inlineStr">
        <is>
          <t>Cash</t>
        </is>
      </c>
      <c r="E15" s="25" t="n">
        <v>19.8</v>
      </c>
      <c r="F15" s="24" t="inlineStr"/>
      <c r="G15" s="26">
        <f>SUM($E$8:E15)</f>
        <v/>
      </c>
    </row>
    <row r="16" ht="18" customHeight="1">
      <c r="A16" s="11" t="inlineStr">
        <is>
          <t>14-Feb-26</t>
        </is>
      </c>
      <c r="B16" s="11" t="inlineStr">
        <is>
          <t>Transport</t>
        </is>
      </c>
      <c r="C16" s="22" t="inlineStr">
        <is>
          <t>Delivery – supplier pickup</t>
        </is>
      </c>
      <c r="D16" s="11" t="inlineStr">
        <is>
          <t>Cash</t>
        </is>
      </c>
      <c r="E16" s="12" t="n">
        <v>22</v>
      </c>
      <c r="F16" s="22" t="inlineStr"/>
      <c r="G16" s="13">
        <f>SUM($E$8:E16)</f>
        <v/>
      </c>
    </row>
    <row r="17" ht="18" customHeight="1">
      <c r="A17" s="23" t="inlineStr">
        <is>
          <t>15-Feb-26</t>
        </is>
      </c>
      <c r="B17" s="23" t="inlineStr">
        <is>
          <t>Marketing</t>
        </is>
      </c>
      <c r="C17" s="24" t="inlineStr">
        <is>
          <t>Flyer printing</t>
        </is>
      </c>
      <c r="D17" s="23" t="inlineStr">
        <is>
          <t>Cash</t>
        </is>
      </c>
      <c r="E17" s="25" t="n">
        <v>85</v>
      </c>
      <c r="F17" s="24" t="inlineStr"/>
      <c r="G17" s="26">
        <f>SUM($E$8:E17)</f>
        <v/>
      </c>
    </row>
    <row r="18" ht="18" customHeight="1">
      <c r="A18" s="11" t="inlineStr">
        <is>
          <t>18-Feb-26</t>
        </is>
      </c>
      <c r="B18" s="11" t="inlineStr">
        <is>
          <t>Utilities</t>
        </is>
      </c>
      <c r="C18" s="22" t="inlineStr">
        <is>
          <t>Water bill</t>
        </is>
      </c>
      <c r="D18" s="11" t="inlineStr">
        <is>
          <t>Bank Transfer</t>
        </is>
      </c>
      <c r="E18" s="12" t="n">
        <v>41</v>
      </c>
      <c r="F18" s="22" t="inlineStr"/>
      <c r="G18" s="13">
        <f>SUM($E$8:E18)</f>
        <v/>
      </c>
    </row>
    <row r="19" ht="18" customHeight="1">
      <c r="A19" s="23" t="inlineStr">
        <is>
          <t>20-Feb-26</t>
        </is>
      </c>
      <c r="B19" s="23" t="inlineStr">
        <is>
          <t>Supplies</t>
        </is>
      </c>
      <c r="C19" s="24" t="inlineStr">
        <is>
          <t>Stationery restock</t>
        </is>
      </c>
      <c r="D19" s="23" t="inlineStr">
        <is>
          <t>Cash</t>
        </is>
      </c>
      <c r="E19" s="25" t="n">
        <v>28.5</v>
      </c>
      <c r="F19" s="24" t="inlineStr"/>
      <c r="G19" s="26">
        <f>SUM($E$8:E19)</f>
        <v/>
      </c>
    </row>
    <row r="20" ht="18" customHeight="1">
      <c r="A20" s="11" t="inlineStr">
        <is>
          <t>21-Feb-26</t>
        </is>
      </c>
      <c r="B20" s="11" t="inlineStr">
        <is>
          <t>Maintenance</t>
        </is>
      </c>
      <c r="C20" s="22" t="inlineStr">
        <is>
          <t>Plumbing repair</t>
        </is>
      </c>
      <c r="D20" s="11" t="inlineStr">
        <is>
          <t>Cash</t>
        </is>
      </c>
      <c r="E20" s="12" t="n">
        <v>120</v>
      </c>
      <c r="F20" s="22" t="inlineStr">
        <is>
          <t>Unexpected</t>
        </is>
      </c>
      <c r="G20" s="13">
        <f>SUM($E$8:E20)</f>
        <v/>
      </c>
    </row>
    <row r="21" ht="18" customHeight="1">
      <c r="A21" s="23" t="inlineStr">
        <is>
          <t>25-Feb-26</t>
        </is>
      </c>
      <c r="B21" s="23" t="inlineStr">
        <is>
          <t>Transport</t>
        </is>
      </c>
      <c r="C21" s="24" t="inlineStr">
        <is>
          <t>Courier charges</t>
        </is>
      </c>
      <c r="D21" s="23" t="inlineStr">
        <is>
          <t>Cash</t>
        </is>
      </c>
      <c r="E21" s="25" t="n">
        <v>19</v>
      </c>
      <c r="F21" s="24" t="inlineStr"/>
      <c r="G21" s="26">
        <f>SUM($E$8:E21)</f>
        <v/>
      </c>
    </row>
    <row r="22" ht="18" customHeight="1">
      <c r="A22" s="11" t="inlineStr">
        <is>
          <t>27-Feb-26</t>
        </is>
      </c>
      <c r="B22" s="11" t="inlineStr">
        <is>
          <t>Miscellaneous</t>
        </is>
      </c>
      <c r="C22" s="22" t="inlineStr">
        <is>
          <t>Office party supplies</t>
        </is>
      </c>
      <c r="D22" s="11" t="inlineStr">
        <is>
          <t>Cash</t>
        </is>
      </c>
      <c r="E22" s="12" t="n">
        <v>55</v>
      </c>
      <c r="F22" s="22" t="inlineStr"/>
      <c r="G22" s="13">
        <f>SUM($E$8:E22)</f>
        <v/>
      </c>
    </row>
    <row r="23" ht="18" customHeight="1">
      <c r="A23" s="23" t="inlineStr">
        <is>
          <t>28-Feb-26</t>
        </is>
      </c>
      <c r="B23" s="23" t="inlineStr">
        <is>
          <t>Insurance</t>
        </is>
      </c>
      <c r="C23" s="24" t="inlineStr">
        <is>
          <t>Business liability premium</t>
        </is>
      </c>
      <c r="D23" s="23" t="inlineStr">
        <is>
          <t>Bank Transfer</t>
        </is>
      </c>
      <c r="E23" s="25" t="n">
        <v>150</v>
      </c>
      <c r="F23" s="24" t="inlineStr">
        <is>
          <t>Monthly</t>
        </is>
      </c>
      <c r="G23" s="26">
        <f>SUM($E$8:E23)</f>
        <v/>
      </c>
    </row>
    <row r="24" ht="18" customHeight="1">
      <c r="A24" s="11" t="inlineStr">
        <is>
          <t>28-Feb-26</t>
        </is>
      </c>
      <c r="B24" s="11" t="inlineStr">
        <is>
          <t>Software</t>
        </is>
      </c>
      <c r="C24" s="22" t="inlineStr">
        <is>
          <t>Cloud storage subscription</t>
        </is>
      </c>
      <c r="D24" s="11" t="inlineStr">
        <is>
          <t>Credit Card</t>
        </is>
      </c>
      <c r="E24" s="12" t="n">
        <v>14.99</v>
      </c>
      <c r="F24" s="22" t="inlineStr"/>
      <c r="G24" s="13">
        <f>SUM($E$8:E24)</f>
        <v/>
      </c>
    </row>
    <row r="25" ht="18" customHeight="1">
      <c r="A25" s="23" t="inlineStr">
        <is>
          <t>28-Feb-26</t>
        </is>
      </c>
      <c r="B25" s="23" t="inlineStr">
        <is>
          <t>Supplies</t>
        </is>
      </c>
      <c r="C25" s="24" t="inlineStr">
        <is>
          <t>Packaging materials</t>
        </is>
      </c>
      <c r="D25" s="23" t="inlineStr">
        <is>
          <t>Cash</t>
        </is>
      </c>
      <c r="E25" s="25" t="n">
        <v>54</v>
      </c>
      <c r="F25" s="24" t="inlineStr"/>
      <c r="G25" s="26">
        <f>SUM($E$8:E25)</f>
        <v/>
      </c>
    </row>
    <row r="26" ht="22" customHeight="1">
      <c r="A26" s="9" t="inlineStr"/>
      <c r="B26" s="9" t="inlineStr"/>
      <c r="C26" s="27" t="inlineStr">
        <is>
          <t>MONTH TOTAL</t>
        </is>
      </c>
      <c r="D26" s="9" t="inlineStr"/>
      <c r="E26" s="28">
        <f>SUM(E8:E25)</f>
        <v/>
      </c>
      <c r="F26" s="9" t="inlineStr"/>
      <c r="G26" s="9" t="inlineStr"/>
    </row>
  </sheetData>
  <mergeCells count="2">
    <mergeCell ref="A2:G2"/>
    <mergeCell ref="A1:G1"/>
  </mergeCells>
  <conditionalFormatting sqref="E8:E25">
    <cfRule type="cellIs" priority="1" operator="greaterThan" dxfId="2">
      <formula>200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0" customWidth="1" min="3" max="3"/>
    <col width="16" customWidth="1" min="4" max="4"/>
    <col width="14" customWidth="1" min="5" max="5"/>
    <col width="22" customWidth="1" min="6" max="6"/>
    <col width="16" customWidth="1" min="7" max="7"/>
  </cols>
  <sheetData>
    <row r="1" ht="40" customHeight="1">
      <c r="A1" s="19" t="inlineStr">
        <is>
          <t>ABC Store — March 2026 Detailed Expenses</t>
        </is>
      </c>
    </row>
    <row r="2" ht="18" customHeight="1">
      <c r="A2" s="2" t="inlineStr">
        <is>
          <t>Farhan Siddique | Virtual Assistant &amp; Data Specialist | May 2026</t>
        </is>
      </c>
    </row>
    <row r="3">
      <c r="P3">
        <f>SUM(E8:E25)</f>
        <v/>
      </c>
    </row>
    <row r="4" ht="18" customHeight="1">
      <c r="A4" s="4" t="inlineStr">
        <is>
          <t>Month Budget</t>
        </is>
      </c>
      <c r="B4" s="4" t="inlineStr">
        <is>
          <t>Total Spent</t>
        </is>
      </c>
      <c r="C4" s="4" t="inlineStr">
        <is>
          <t>Remaining</t>
        </is>
      </c>
      <c r="D4" s="4" t="inlineStr">
        <is>
          <t># Transactions</t>
        </is>
      </c>
      <c r="E4" s="4" t="inlineStr">
        <is>
          <t>Avg Transaction</t>
        </is>
      </c>
    </row>
    <row r="5" ht="28" customHeight="1">
      <c r="A5" s="20" t="n">
        <v>3300</v>
      </c>
      <c r="B5" s="20">
        <f>SUM(E8:E60)</f>
        <v/>
      </c>
      <c r="C5" s="20">
        <f>A5-B5</f>
        <v/>
      </c>
      <c r="D5" s="21">
        <f>COUNTA(A8:A60)</f>
        <v/>
      </c>
      <c r="E5" s="20">
        <f>IF(D5&gt;0,B5/D5,0)</f>
        <v/>
      </c>
    </row>
    <row r="7" ht="22" customHeight="1">
      <c r="A7" s="9" t="inlineStr">
        <is>
          <t>Date</t>
        </is>
      </c>
      <c r="B7" s="9" t="inlineStr">
        <is>
          <t>Category</t>
        </is>
      </c>
      <c r="C7" s="9" t="inlineStr">
        <is>
          <t>Description</t>
        </is>
      </c>
      <c r="D7" s="9" t="inlineStr">
        <is>
          <t>Payment Method</t>
        </is>
      </c>
      <c r="E7" s="9" t="inlineStr">
        <is>
          <t>Amount ($)</t>
        </is>
      </c>
      <c r="F7" s="9" t="inlineStr">
        <is>
          <t>Notes</t>
        </is>
      </c>
      <c r="G7" s="9" t="inlineStr">
        <is>
          <t>Cumulative ($)</t>
        </is>
      </c>
    </row>
    <row r="8" ht="18" customHeight="1">
      <c r="A8" s="11" t="inlineStr">
        <is>
          <t>01-Mar-26</t>
        </is>
      </c>
      <c r="B8" s="11" t="inlineStr">
        <is>
          <t>Rent</t>
        </is>
      </c>
      <c r="C8" s="22" t="inlineStr">
        <is>
          <t>Office rent – March</t>
        </is>
      </c>
      <c r="D8" s="11" t="inlineStr">
        <is>
          <t>Bank Transfer</t>
        </is>
      </c>
      <c r="E8" s="12" t="n">
        <v>1200</v>
      </c>
      <c r="F8" s="22" t="inlineStr">
        <is>
          <t>Monthly fixed</t>
        </is>
      </c>
      <c r="G8" s="13">
        <f>SUM($E$8:E8)</f>
        <v/>
      </c>
    </row>
    <row r="9" ht="18" customHeight="1">
      <c r="A9" s="23" t="inlineStr">
        <is>
          <t>02-Mar-26</t>
        </is>
      </c>
      <c r="B9" s="23" t="inlineStr">
        <is>
          <t>Utilities</t>
        </is>
      </c>
      <c r="C9" s="24" t="inlineStr">
        <is>
          <t>Electricity bill</t>
        </is>
      </c>
      <c r="D9" s="23" t="inlineStr">
        <is>
          <t>Bank Transfer</t>
        </is>
      </c>
      <c r="E9" s="25" t="n">
        <v>168.4</v>
      </c>
      <c r="F9" s="24" t="inlineStr"/>
      <c r="G9" s="26">
        <f>SUM($E$8:E9)</f>
        <v/>
      </c>
    </row>
    <row r="10" ht="18" customHeight="1">
      <c r="A10" s="11" t="inlineStr">
        <is>
          <t>03-Mar-26</t>
        </is>
      </c>
      <c r="B10" s="11" t="inlineStr">
        <is>
          <t>Supplies</t>
        </is>
      </c>
      <c r="C10" s="22" t="inlineStr">
        <is>
          <t>Printer paper &amp; cartridges</t>
        </is>
      </c>
      <c r="D10" s="11" t="inlineStr">
        <is>
          <t>Cash</t>
        </is>
      </c>
      <c r="E10" s="12" t="n">
        <v>78.2</v>
      </c>
      <c r="F10" s="22" t="inlineStr"/>
      <c r="G10" s="13">
        <f>SUM($E$8:E10)</f>
        <v/>
      </c>
    </row>
    <row r="11" ht="18" customHeight="1">
      <c r="A11" s="23" t="inlineStr">
        <is>
          <t>05-Mar-26</t>
        </is>
      </c>
      <c r="B11" s="23" t="inlineStr">
        <is>
          <t>Internet</t>
        </is>
      </c>
      <c r="C11" s="24" t="inlineStr">
        <is>
          <t>Broadband – March</t>
        </is>
      </c>
      <c r="D11" s="23" t="inlineStr">
        <is>
          <t>Auto Debit</t>
        </is>
      </c>
      <c r="E11" s="25" t="n">
        <v>49.99</v>
      </c>
      <c r="F11" s="24" t="inlineStr"/>
      <c r="G11" s="26">
        <f>SUM($E$8:E11)</f>
        <v/>
      </c>
    </row>
    <row r="12" ht="18" customHeight="1">
      <c r="A12" s="11" t="inlineStr">
        <is>
          <t>07-Mar-26</t>
        </is>
      </c>
      <c r="B12" s="11" t="inlineStr">
        <is>
          <t>Marketing</t>
        </is>
      </c>
      <c r="C12" s="22" t="inlineStr">
        <is>
          <t>Google Ads</t>
        </is>
      </c>
      <c r="D12" s="11" t="inlineStr">
        <is>
          <t>Credit Card</t>
        </is>
      </c>
      <c r="E12" s="12" t="n">
        <v>220</v>
      </c>
      <c r="F12" s="22" t="inlineStr">
        <is>
          <t>Spring campaign</t>
        </is>
      </c>
      <c r="G12" s="13">
        <f>SUM($E$8:E12)</f>
        <v/>
      </c>
    </row>
    <row r="13" ht="18" customHeight="1">
      <c r="A13" s="23" t="inlineStr">
        <is>
          <t>08-Mar-26</t>
        </is>
      </c>
      <c r="B13" s="23" t="inlineStr">
        <is>
          <t>Salaries</t>
        </is>
      </c>
      <c r="C13" s="24" t="inlineStr">
        <is>
          <t>Part-time staff wage</t>
        </is>
      </c>
      <c r="D13" s="23" t="inlineStr">
        <is>
          <t>Bank Transfer</t>
        </is>
      </c>
      <c r="E13" s="25" t="n">
        <v>600</v>
      </c>
      <c r="F13" s="24" t="inlineStr"/>
      <c r="G13" s="26">
        <f>SUM($E$8:E13)</f>
        <v/>
      </c>
    </row>
    <row r="14" ht="18" customHeight="1">
      <c r="A14" s="11" t="inlineStr">
        <is>
          <t>10-Mar-26</t>
        </is>
      </c>
      <c r="B14" s="11" t="inlineStr">
        <is>
          <t>Equipment</t>
        </is>
      </c>
      <c r="C14" s="22" t="inlineStr">
        <is>
          <t>Surge protector strips</t>
        </is>
      </c>
      <c r="D14" s="11" t="inlineStr">
        <is>
          <t>Cash</t>
        </is>
      </c>
      <c r="E14" s="12" t="n">
        <v>39.98</v>
      </c>
      <c r="F14" s="22" t="inlineStr">
        <is>
          <t>2 units</t>
        </is>
      </c>
      <c r="G14" s="13">
        <f>SUM($E$8:E14)</f>
        <v/>
      </c>
    </row>
    <row r="15" ht="18" customHeight="1">
      <c r="A15" s="23" t="inlineStr">
        <is>
          <t>12-Mar-26</t>
        </is>
      </c>
      <c r="B15" s="23" t="inlineStr">
        <is>
          <t>Supplies</t>
        </is>
      </c>
      <c r="C15" s="24" t="inlineStr">
        <is>
          <t>Cleaning supplies</t>
        </is>
      </c>
      <c r="D15" s="23" t="inlineStr">
        <is>
          <t>Cash</t>
        </is>
      </c>
      <c r="E15" s="25" t="n">
        <v>21.6</v>
      </c>
      <c r="F15" s="24" t="inlineStr"/>
      <c r="G15" s="26">
        <f>SUM($E$8:E15)</f>
        <v/>
      </c>
    </row>
    <row r="16" ht="18" customHeight="1">
      <c r="A16" s="11" t="inlineStr">
        <is>
          <t>14-Mar-26</t>
        </is>
      </c>
      <c r="B16" s="11" t="inlineStr">
        <is>
          <t>Transport</t>
        </is>
      </c>
      <c r="C16" s="22" t="inlineStr">
        <is>
          <t>Delivery – supplier pickup</t>
        </is>
      </c>
      <c r="D16" s="11" t="inlineStr">
        <is>
          <t>Cash</t>
        </is>
      </c>
      <c r="E16" s="12" t="n">
        <v>15</v>
      </c>
      <c r="F16" s="22" t="inlineStr"/>
      <c r="G16" s="13">
        <f>SUM($E$8:E16)</f>
        <v/>
      </c>
    </row>
    <row r="17" ht="18" customHeight="1">
      <c r="A17" s="23" t="inlineStr">
        <is>
          <t>15-Mar-26</t>
        </is>
      </c>
      <c r="B17" s="23" t="inlineStr">
        <is>
          <t>Marketing</t>
        </is>
      </c>
      <c r="C17" s="24" t="inlineStr">
        <is>
          <t>Social media management tool</t>
        </is>
      </c>
      <c r="D17" s="23" t="inlineStr">
        <is>
          <t>Credit Card</t>
        </is>
      </c>
      <c r="E17" s="25" t="n">
        <v>49</v>
      </c>
      <c r="F17" s="24" t="inlineStr">
        <is>
          <t>Monthly</t>
        </is>
      </c>
      <c r="G17" s="26">
        <f>SUM($E$8:E17)</f>
        <v/>
      </c>
    </row>
    <row r="18" ht="18" customHeight="1">
      <c r="A18" s="11" t="inlineStr">
        <is>
          <t>18-Mar-26</t>
        </is>
      </c>
      <c r="B18" s="11" t="inlineStr">
        <is>
          <t>Utilities</t>
        </is>
      </c>
      <c r="C18" s="22" t="inlineStr">
        <is>
          <t>Water bill</t>
        </is>
      </c>
      <c r="D18" s="11" t="inlineStr">
        <is>
          <t>Bank Transfer</t>
        </is>
      </c>
      <c r="E18" s="12" t="n">
        <v>36</v>
      </c>
      <c r="F18" s="22" t="inlineStr"/>
      <c r="G18" s="13">
        <f>SUM($E$8:E18)</f>
        <v/>
      </c>
    </row>
    <row r="19" ht="18" customHeight="1">
      <c r="A19" s="23" t="inlineStr">
        <is>
          <t>20-Mar-26</t>
        </is>
      </c>
      <c r="B19" s="23" t="inlineStr">
        <is>
          <t>Supplies</t>
        </is>
      </c>
      <c r="C19" s="24" t="inlineStr">
        <is>
          <t>Stationery restock</t>
        </is>
      </c>
      <c r="D19" s="23" t="inlineStr">
        <is>
          <t>Cash</t>
        </is>
      </c>
      <c r="E19" s="25" t="n">
        <v>33.8</v>
      </c>
      <c r="F19" s="24" t="inlineStr"/>
      <c r="G19" s="26">
        <f>SUM($E$8:E19)</f>
        <v/>
      </c>
    </row>
    <row r="20" ht="18" customHeight="1">
      <c r="A20" s="11" t="inlineStr">
        <is>
          <t>22-Mar-26</t>
        </is>
      </c>
      <c r="B20" s="11" t="inlineStr">
        <is>
          <t>Maintenance</t>
        </is>
      </c>
      <c r="C20" s="22" t="inlineStr">
        <is>
          <t>AC filter change</t>
        </is>
      </c>
      <c r="D20" s="11" t="inlineStr">
        <is>
          <t>Cash</t>
        </is>
      </c>
      <c r="E20" s="12" t="n">
        <v>60</v>
      </c>
      <c r="F20" s="22" t="inlineStr"/>
      <c r="G20" s="13">
        <f>SUM($E$8:E20)</f>
        <v/>
      </c>
    </row>
    <row r="21" ht="18" customHeight="1">
      <c r="A21" s="23" t="inlineStr">
        <is>
          <t>25-Mar-26</t>
        </is>
      </c>
      <c r="B21" s="23" t="inlineStr">
        <is>
          <t>Transport</t>
        </is>
      </c>
      <c r="C21" s="24" t="inlineStr">
        <is>
          <t>Courier charges</t>
        </is>
      </c>
      <c r="D21" s="23" t="inlineStr">
        <is>
          <t>Cash</t>
        </is>
      </c>
      <c r="E21" s="25" t="n">
        <v>21</v>
      </c>
      <c r="F21" s="24" t="inlineStr"/>
      <c r="G21" s="26">
        <f>SUM($E$8:E21)</f>
        <v/>
      </c>
    </row>
    <row r="22" ht="18" customHeight="1">
      <c r="A22" s="11" t="inlineStr">
        <is>
          <t>28-Mar-26</t>
        </is>
      </c>
      <c r="B22" s="11" t="inlineStr">
        <is>
          <t>Miscellaneous</t>
        </is>
      </c>
      <c r="C22" s="22" t="inlineStr">
        <is>
          <t>Client meeting refreshments</t>
        </is>
      </c>
      <c r="D22" s="11" t="inlineStr">
        <is>
          <t>Cash</t>
        </is>
      </c>
      <c r="E22" s="12" t="n">
        <v>38</v>
      </c>
      <c r="F22" s="22" t="inlineStr"/>
      <c r="G22" s="13">
        <f>SUM($E$8:E22)</f>
        <v/>
      </c>
    </row>
    <row r="23" ht="18" customHeight="1">
      <c r="A23" s="23" t="inlineStr">
        <is>
          <t>29-Mar-26</t>
        </is>
      </c>
      <c r="B23" s="23" t="inlineStr">
        <is>
          <t>Insurance</t>
        </is>
      </c>
      <c r="C23" s="24" t="inlineStr">
        <is>
          <t>Business liability premium</t>
        </is>
      </c>
      <c r="D23" s="23" t="inlineStr">
        <is>
          <t>Bank Transfer</t>
        </is>
      </c>
      <c r="E23" s="25" t="n">
        <v>150</v>
      </c>
      <c r="F23" s="24" t="inlineStr">
        <is>
          <t>Monthly</t>
        </is>
      </c>
      <c r="G23" s="26">
        <f>SUM($E$8:E23)</f>
        <v/>
      </c>
    </row>
    <row r="24" ht="18" customHeight="1">
      <c r="A24" s="11" t="inlineStr">
        <is>
          <t>30-Mar-26</t>
        </is>
      </c>
      <c r="B24" s="11" t="inlineStr">
        <is>
          <t>Software</t>
        </is>
      </c>
      <c r="C24" s="22" t="inlineStr">
        <is>
          <t>Project management tool</t>
        </is>
      </c>
      <c r="D24" s="11" t="inlineStr">
        <is>
          <t>Credit Card</t>
        </is>
      </c>
      <c r="E24" s="12" t="n">
        <v>25</v>
      </c>
      <c r="F24" s="22" t="inlineStr"/>
      <c r="G24" s="13">
        <f>SUM($E$8:E24)</f>
        <v/>
      </c>
    </row>
    <row r="25" ht="18" customHeight="1">
      <c r="A25" s="23" t="inlineStr">
        <is>
          <t>31-Mar-26</t>
        </is>
      </c>
      <c r="B25" s="23" t="inlineStr">
        <is>
          <t>Supplies</t>
        </is>
      </c>
      <c r="C25" s="24" t="inlineStr">
        <is>
          <t>Packaging materials – Q1 bulk</t>
        </is>
      </c>
      <c r="D25" s="23" t="inlineStr">
        <is>
          <t>Cash</t>
        </is>
      </c>
      <c r="E25" s="25" t="n">
        <v>70</v>
      </c>
      <c r="F25" s="24" t="inlineStr"/>
      <c r="G25" s="26">
        <f>SUM($E$8:E25)</f>
        <v/>
      </c>
    </row>
    <row r="26" ht="22" customHeight="1">
      <c r="A26" s="9" t="inlineStr"/>
      <c r="B26" s="9" t="inlineStr"/>
      <c r="C26" s="27" t="inlineStr">
        <is>
          <t>MONTH TOTAL</t>
        </is>
      </c>
      <c r="D26" s="9" t="inlineStr"/>
      <c r="E26" s="28">
        <f>SUM(E8:E25)</f>
        <v/>
      </c>
      <c r="F26" s="9" t="inlineStr"/>
      <c r="G26" s="9" t="inlineStr"/>
    </row>
  </sheetData>
  <mergeCells count="2">
    <mergeCell ref="A2:G2"/>
    <mergeCell ref="A1:G1"/>
  </mergeCells>
  <conditionalFormatting sqref="E8:E25">
    <cfRule type="cellIs" priority="1" operator="greaterThan" dxfId="2">
      <formula>200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0" customWidth="1" min="3" max="3"/>
    <col width="16" customWidth="1" min="4" max="4"/>
    <col width="14" customWidth="1" min="5" max="5"/>
    <col width="22" customWidth="1" min="6" max="6"/>
    <col width="16" customWidth="1" min="7" max="7"/>
  </cols>
  <sheetData>
    <row r="1" ht="40" customHeight="1">
      <c r="A1" s="19" t="inlineStr">
        <is>
          <t>ABC Store — April 2026 Detailed Expenses</t>
        </is>
      </c>
    </row>
    <row r="2" ht="18" customHeight="1">
      <c r="A2" s="2" t="inlineStr">
        <is>
          <t>Farhan Siddique | Virtual Assistant &amp; Data Specialist | May 2026</t>
        </is>
      </c>
    </row>
    <row r="3">
      <c r="P3">
        <f>SUM(E8:E25)</f>
        <v/>
      </c>
    </row>
    <row r="4" ht="18" customHeight="1">
      <c r="A4" s="4" t="inlineStr">
        <is>
          <t>Month Budget</t>
        </is>
      </c>
      <c r="B4" s="4" t="inlineStr">
        <is>
          <t>Total Spent</t>
        </is>
      </c>
      <c r="C4" s="4" t="inlineStr">
        <is>
          <t>Remaining</t>
        </is>
      </c>
      <c r="D4" s="4" t="inlineStr">
        <is>
          <t># Transactions</t>
        </is>
      </c>
      <c r="E4" s="4" t="inlineStr">
        <is>
          <t>Avg Transaction</t>
        </is>
      </c>
    </row>
    <row r="5" ht="28" customHeight="1">
      <c r="A5" s="20" t="n">
        <v>3500</v>
      </c>
      <c r="B5" s="20">
        <f>SUM(E8:E60)</f>
        <v/>
      </c>
      <c r="C5" s="20">
        <f>A5-B5</f>
        <v/>
      </c>
      <c r="D5" s="21">
        <f>COUNTA(A8:A60)</f>
        <v/>
      </c>
      <c r="E5" s="20">
        <f>IF(D5&gt;0,B5/D5,0)</f>
        <v/>
      </c>
    </row>
    <row r="7" ht="22" customHeight="1">
      <c r="A7" s="9" t="inlineStr">
        <is>
          <t>Date</t>
        </is>
      </c>
      <c r="B7" s="9" t="inlineStr">
        <is>
          <t>Category</t>
        </is>
      </c>
      <c r="C7" s="9" t="inlineStr">
        <is>
          <t>Description</t>
        </is>
      </c>
      <c r="D7" s="9" t="inlineStr">
        <is>
          <t>Payment Method</t>
        </is>
      </c>
      <c r="E7" s="9" t="inlineStr">
        <is>
          <t>Amount ($)</t>
        </is>
      </c>
      <c r="F7" s="9" t="inlineStr">
        <is>
          <t>Notes</t>
        </is>
      </c>
      <c r="G7" s="9" t="inlineStr">
        <is>
          <t>Cumulative ($)</t>
        </is>
      </c>
    </row>
    <row r="8" ht="18" customHeight="1">
      <c r="A8" s="11" t="inlineStr">
        <is>
          <t>01-Apr-26</t>
        </is>
      </c>
      <c r="B8" s="11" t="inlineStr">
        <is>
          <t>Rent</t>
        </is>
      </c>
      <c r="C8" s="22" t="inlineStr">
        <is>
          <t>Office rent – April</t>
        </is>
      </c>
      <c r="D8" s="11" t="inlineStr">
        <is>
          <t>Bank Transfer</t>
        </is>
      </c>
      <c r="E8" s="12" t="n">
        <v>1200</v>
      </c>
      <c r="F8" s="22" t="inlineStr">
        <is>
          <t>Monthly fixed</t>
        </is>
      </c>
      <c r="G8" s="13">
        <f>SUM($E$8:E8)</f>
        <v/>
      </c>
    </row>
    <row r="9" ht="18" customHeight="1">
      <c r="A9" s="23" t="inlineStr">
        <is>
          <t>02-Apr-26</t>
        </is>
      </c>
      <c r="B9" s="23" t="inlineStr">
        <is>
          <t>Utilities</t>
        </is>
      </c>
      <c r="C9" s="24" t="inlineStr">
        <is>
          <t>Electricity bill</t>
        </is>
      </c>
      <c r="D9" s="23" t="inlineStr">
        <is>
          <t>Bank Transfer</t>
        </is>
      </c>
      <c r="E9" s="25" t="n">
        <v>210.8</v>
      </c>
      <c r="F9" s="24" t="inlineStr">
        <is>
          <t>Warmer weather</t>
        </is>
      </c>
      <c r="G9" s="26">
        <f>SUM($E$8:E9)</f>
        <v/>
      </c>
    </row>
    <row r="10" ht="18" customHeight="1">
      <c r="A10" s="11" t="inlineStr">
        <is>
          <t>03-Apr-26</t>
        </is>
      </c>
      <c r="B10" s="11" t="inlineStr">
        <is>
          <t>Supplies</t>
        </is>
      </c>
      <c r="C10" s="22" t="inlineStr">
        <is>
          <t>Printer paper</t>
        </is>
      </c>
      <c r="D10" s="11" t="inlineStr">
        <is>
          <t>Cash</t>
        </is>
      </c>
      <c r="E10" s="12" t="n">
        <v>44</v>
      </c>
      <c r="F10" s="22" t="inlineStr"/>
      <c r="G10" s="13">
        <f>SUM($E$8:E10)</f>
        <v/>
      </c>
    </row>
    <row r="11" ht="18" customHeight="1">
      <c r="A11" s="23" t="inlineStr">
        <is>
          <t>05-Apr-26</t>
        </is>
      </c>
      <c r="B11" s="23" t="inlineStr">
        <is>
          <t>Internet</t>
        </is>
      </c>
      <c r="C11" s="24" t="inlineStr">
        <is>
          <t>Broadband – April</t>
        </is>
      </c>
      <c r="D11" s="23" t="inlineStr">
        <is>
          <t>Auto Debit</t>
        </is>
      </c>
      <c r="E11" s="25" t="n">
        <v>49.99</v>
      </c>
      <c r="F11" s="24" t="inlineStr"/>
      <c r="G11" s="26">
        <f>SUM($E$8:E11)</f>
        <v/>
      </c>
    </row>
    <row r="12" ht="18" customHeight="1">
      <c r="A12" s="11" t="inlineStr">
        <is>
          <t>07-Apr-26</t>
        </is>
      </c>
      <c r="B12" s="11" t="inlineStr">
        <is>
          <t>Marketing</t>
        </is>
      </c>
      <c r="C12" s="22" t="inlineStr">
        <is>
          <t>Facebook + Google Ads</t>
        </is>
      </c>
      <c r="D12" s="11" t="inlineStr">
        <is>
          <t>Credit Card</t>
        </is>
      </c>
      <c r="E12" s="12" t="n">
        <v>300</v>
      </c>
      <c r="F12" s="22" t="inlineStr">
        <is>
          <t>Easter promotion</t>
        </is>
      </c>
      <c r="G12" s="13">
        <f>SUM($E$8:E12)</f>
        <v/>
      </c>
    </row>
    <row r="13" ht="18" customHeight="1">
      <c r="A13" s="23" t="inlineStr">
        <is>
          <t>08-Apr-26</t>
        </is>
      </c>
      <c r="B13" s="23" t="inlineStr">
        <is>
          <t>Salaries</t>
        </is>
      </c>
      <c r="C13" s="24" t="inlineStr">
        <is>
          <t>Part-time staff wage</t>
        </is>
      </c>
      <c r="D13" s="23" t="inlineStr">
        <is>
          <t>Bank Transfer</t>
        </is>
      </c>
      <c r="E13" s="25" t="n">
        <v>600</v>
      </c>
      <c r="F13" s="24" t="inlineStr"/>
      <c r="G13" s="26">
        <f>SUM($E$8:E13)</f>
        <v/>
      </c>
    </row>
    <row r="14" ht="18" customHeight="1">
      <c r="A14" s="11" t="inlineStr">
        <is>
          <t>10-Apr-26</t>
        </is>
      </c>
      <c r="B14" s="11" t="inlineStr">
        <is>
          <t>Equipment</t>
        </is>
      </c>
      <c r="C14" s="22" t="inlineStr">
        <is>
          <t>Wireless keyboard replacement</t>
        </is>
      </c>
      <c r="D14" s="11" t="inlineStr">
        <is>
          <t>Cash</t>
        </is>
      </c>
      <c r="E14" s="12" t="n">
        <v>49.99</v>
      </c>
      <c r="F14" s="22" t="inlineStr"/>
      <c r="G14" s="13">
        <f>SUM($E$8:E14)</f>
        <v/>
      </c>
    </row>
    <row r="15" ht="18" customHeight="1">
      <c r="A15" s="23" t="inlineStr">
        <is>
          <t>12-Apr-26</t>
        </is>
      </c>
      <c r="B15" s="23" t="inlineStr">
        <is>
          <t>Supplies</t>
        </is>
      </c>
      <c r="C15" s="24" t="inlineStr">
        <is>
          <t>Cleaning supplies</t>
        </is>
      </c>
      <c r="D15" s="23" t="inlineStr">
        <is>
          <t>Cash</t>
        </is>
      </c>
      <c r="E15" s="25" t="n">
        <v>23</v>
      </c>
      <c r="F15" s="24" t="inlineStr"/>
      <c r="G15" s="26">
        <f>SUM($E$8:E15)</f>
        <v/>
      </c>
    </row>
    <row r="16" ht="18" customHeight="1">
      <c r="A16" s="11" t="inlineStr">
        <is>
          <t>14-Apr-26</t>
        </is>
      </c>
      <c r="B16" s="11" t="inlineStr">
        <is>
          <t>Transport</t>
        </is>
      </c>
      <c r="C16" s="22" t="inlineStr">
        <is>
          <t>Delivery – supplier pickup</t>
        </is>
      </c>
      <c r="D16" s="11" t="inlineStr">
        <is>
          <t>Cash</t>
        </is>
      </c>
      <c r="E16" s="12" t="n">
        <v>25</v>
      </c>
      <c r="F16" s="22" t="inlineStr">
        <is>
          <t>Larger order</t>
        </is>
      </c>
      <c r="G16" s="13">
        <f>SUM($E$8:E16)</f>
        <v/>
      </c>
    </row>
    <row r="17" ht="18" customHeight="1">
      <c r="A17" s="23" t="inlineStr">
        <is>
          <t>15-Apr-26</t>
        </is>
      </c>
      <c r="B17" s="23" t="inlineStr">
        <is>
          <t>Marketing</t>
        </is>
      </c>
      <c r="C17" s="24" t="inlineStr">
        <is>
          <t>Email marketing platform</t>
        </is>
      </c>
      <c r="D17" s="23" t="inlineStr">
        <is>
          <t>Credit Card</t>
        </is>
      </c>
      <c r="E17" s="25" t="n">
        <v>29</v>
      </c>
      <c r="F17" s="24" t="inlineStr"/>
      <c r="G17" s="26">
        <f>SUM($E$8:E17)</f>
        <v/>
      </c>
    </row>
    <row r="18" ht="18" customHeight="1">
      <c r="A18" s="11" t="inlineStr">
        <is>
          <t>18-Apr-26</t>
        </is>
      </c>
      <c r="B18" s="11" t="inlineStr">
        <is>
          <t>Utilities</t>
        </is>
      </c>
      <c r="C18" s="22" t="inlineStr">
        <is>
          <t>Water bill</t>
        </is>
      </c>
      <c r="D18" s="11" t="inlineStr">
        <is>
          <t>Bank Transfer</t>
        </is>
      </c>
      <c r="E18" s="12" t="n">
        <v>39</v>
      </c>
      <c r="F18" s="22" t="inlineStr"/>
      <c r="G18" s="13">
        <f>SUM($E$8:E18)</f>
        <v/>
      </c>
    </row>
    <row r="19" ht="18" customHeight="1">
      <c r="A19" s="23" t="inlineStr">
        <is>
          <t>20-Apr-26</t>
        </is>
      </c>
      <c r="B19" s="23" t="inlineStr">
        <is>
          <t>Supplies</t>
        </is>
      </c>
      <c r="C19" s="24" t="inlineStr">
        <is>
          <t>Stationery restock</t>
        </is>
      </c>
      <c r="D19" s="23" t="inlineStr">
        <is>
          <t>Cash</t>
        </is>
      </c>
      <c r="E19" s="25" t="n">
        <v>29.8</v>
      </c>
      <c r="F19" s="24" t="inlineStr"/>
      <c r="G19" s="26">
        <f>SUM($E$8:E19)</f>
        <v/>
      </c>
    </row>
    <row r="20" ht="18" customHeight="1">
      <c r="A20" s="11" t="inlineStr">
        <is>
          <t>22-Apr-26</t>
        </is>
      </c>
      <c r="B20" s="11" t="inlineStr">
        <is>
          <t>Maintenance</t>
        </is>
      </c>
      <c r="C20" s="22" t="inlineStr">
        <is>
          <t>Office door lock repair</t>
        </is>
      </c>
      <c r="D20" s="11" t="inlineStr">
        <is>
          <t>Cash</t>
        </is>
      </c>
      <c r="E20" s="12" t="n">
        <v>85</v>
      </c>
      <c r="F20" s="22" t="inlineStr">
        <is>
          <t>Security</t>
        </is>
      </c>
      <c r="G20" s="13">
        <f>SUM($E$8:E20)</f>
        <v/>
      </c>
    </row>
    <row r="21" ht="18" customHeight="1">
      <c r="A21" s="23" t="inlineStr">
        <is>
          <t>25-Apr-26</t>
        </is>
      </c>
      <c r="B21" s="23" t="inlineStr">
        <is>
          <t>Transport</t>
        </is>
      </c>
      <c r="C21" s="24" t="inlineStr">
        <is>
          <t>Courier charges</t>
        </is>
      </c>
      <c r="D21" s="23" t="inlineStr">
        <is>
          <t>Cash</t>
        </is>
      </c>
      <c r="E21" s="25" t="n">
        <v>18</v>
      </c>
      <c r="F21" s="24" t="inlineStr"/>
      <c r="G21" s="26">
        <f>SUM($E$8:E21)</f>
        <v/>
      </c>
    </row>
    <row r="22" ht="18" customHeight="1">
      <c r="A22" s="11" t="inlineStr">
        <is>
          <t>28-Apr-26</t>
        </is>
      </c>
      <c r="B22" s="11" t="inlineStr">
        <is>
          <t>Miscellaneous</t>
        </is>
      </c>
      <c r="C22" s="22" t="inlineStr">
        <is>
          <t>Staff outing contribution</t>
        </is>
      </c>
      <c r="D22" s="11" t="inlineStr">
        <is>
          <t>Cash</t>
        </is>
      </c>
      <c r="E22" s="12" t="n">
        <v>80</v>
      </c>
      <c r="F22" s="22" t="inlineStr">
        <is>
          <t>Team morale</t>
        </is>
      </c>
      <c r="G22" s="13">
        <f>SUM($E$8:E22)</f>
        <v/>
      </c>
    </row>
    <row r="23" ht="18" customHeight="1">
      <c r="A23" s="23" t="inlineStr">
        <is>
          <t>29-Apr-26</t>
        </is>
      </c>
      <c r="B23" s="23" t="inlineStr">
        <is>
          <t>Insurance</t>
        </is>
      </c>
      <c r="C23" s="24" t="inlineStr">
        <is>
          <t>Business liability premium</t>
        </is>
      </c>
      <c r="D23" s="23" t="inlineStr">
        <is>
          <t>Bank Transfer</t>
        </is>
      </c>
      <c r="E23" s="25" t="n">
        <v>150</v>
      </c>
      <c r="F23" s="24" t="inlineStr">
        <is>
          <t>Monthly</t>
        </is>
      </c>
      <c r="G23" s="26">
        <f>SUM($E$8:E23)</f>
        <v/>
      </c>
    </row>
    <row r="24" ht="18" customHeight="1">
      <c r="A24" s="11" t="inlineStr">
        <is>
          <t>30-Apr-26</t>
        </is>
      </c>
      <c r="B24" s="11" t="inlineStr">
        <is>
          <t>Software</t>
        </is>
      </c>
      <c r="C24" s="22" t="inlineStr">
        <is>
          <t>Accounting software</t>
        </is>
      </c>
      <c r="D24" s="11" t="inlineStr">
        <is>
          <t>Credit Card</t>
        </is>
      </c>
      <c r="E24" s="12" t="n">
        <v>29.99</v>
      </c>
      <c r="F24" s="22" t="inlineStr"/>
      <c r="G24" s="13">
        <f>SUM($E$8:E24)</f>
        <v/>
      </c>
    </row>
    <row r="25" ht="18" customHeight="1">
      <c r="A25" s="23" t="inlineStr">
        <is>
          <t>30-Apr-26</t>
        </is>
      </c>
      <c r="B25" s="23" t="inlineStr">
        <is>
          <t>Supplies</t>
        </is>
      </c>
      <c r="C25" s="24" t="inlineStr">
        <is>
          <t>Packaging materials</t>
        </is>
      </c>
      <c r="D25" s="23" t="inlineStr">
        <is>
          <t>Cash</t>
        </is>
      </c>
      <c r="E25" s="25" t="n">
        <v>61</v>
      </c>
      <c r="F25" s="24" t="inlineStr"/>
      <c r="G25" s="26">
        <f>SUM($E$8:E25)</f>
        <v/>
      </c>
    </row>
    <row r="26" ht="22" customHeight="1">
      <c r="A26" s="9" t="inlineStr"/>
      <c r="B26" s="9" t="inlineStr"/>
      <c r="C26" s="27" t="inlineStr">
        <is>
          <t>MONTH TOTAL</t>
        </is>
      </c>
      <c r="D26" s="9" t="inlineStr"/>
      <c r="E26" s="28">
        <f>SUM(E8:E25)</f>
        <v/>
      </c>
      <c r="F26" s="9" t="inlineStr"/>
      <c r="G26" s="9" t="inlineStr"/>
    </row>
  </sheetData>
  <mergeCells count="2">
    <mergeCell ref="A2:G2"/>
    <mergeCell ref="A1:G1"/>
  </mergeCells>
  <conditionalFormatting sqref="E8:E25">
    <cfRule type="cellIs" priority="1" operator="greaterThan" dxfId="2">
      <formula>200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0" customWidth="1" min="3" max="3"/>
    <col width="16" customWidth="1" min="4" max="4"/>
    <col width="14" customWidth="1" min="5" max="5"/>
    <col width="22" customWidth="1" min="6" max="6"/>
    <col width="16" customWidth="1" min="7" max="7"/>
  </cols>
  <sheetData>
    <row r="1" ht="40" customHeight="1">
      <c r="A1" s="19" t="inlineStr">
        <is>
          <t>ABC Store — May 2026 Detailed Expenses</t>
        </is>
      </c>
    </row>
    <row r="2" ht="18" customHeight="1">
      <c r="A2" s="2" t="inlineStr">
        <is>
          <t>Farhan Siddique | Virtual Assistant &amp; Data Specialist | May 2026</t>
        </is>
      </c>
    </row>
    <row r="3">
      <c r="P3">
        <f>SUM(E8:E25)</f>
        <v/>
      </c>
    </row>
    <row r="4" ht="18" customHeight="1">
      <c r="A4" s="4" t="inlineStr">
        <is>
          <t>Month Budget</t>
        </is>
      </c>
      <c r="B4" s="4" t="inlineStr">
        <is>
          <t>Total Spent</t>
        </is>
      </c>
      <c r="C4" s="4" t="inlineStr">
        <is>
          <t>Remaining</t>
        </is>
      </c>
      <c r="D4" s="4" t="inlineStr">
        <is>
          <t># Transactions</t>
        </is>
      </c>
      <c r="E4" s="4" t="inlineStr">
        <is>
          <t>Avg Transaction</t>
        </is>
      </c>
    </row>
    <row r="5" ht="28" customHeight="1">
      <c r="A5" s="20" t="n">
        <v>3500</v>
      </c>
      <c r="B5" s="20">
        <f>SUM(E8:E60)</f>
        <v/>
      </c>
      <c r="C5" s="20">
        <f>A5-B5</f>
        <v/>
      </c>
      <c r="D5" s="21">
        <f>COUNTA(A8:A60)</f>
        <v/>
      </c>
      <c r="E5" s="20">
        <f>IF(D5&gt;0,B5/D5,0)</f>
        <v/>
      </c>
    </row>
    <row r="7" ht="22" customHeight="1">
      <c r="A7" s="9" t="inlineStr">
        <is>
          <t>Date</t>
        </is>
      </c>
      <c r="B7" s="9" t="inlineStr">
        <is>
          <t>Category</t>
        </is>
      </c>
      <c r="C7" s="9" t="inlineStr">
        <is>
          <t>Description</t>
        </is>
      </c>
      <c r="D7" s="9" t="inlineStr">
        <is>
          <t>Payment Method</t>
        </is>
      </c>
      <c r="E7" s="9" t="inlineStr">
        <is>
          <t>Amount ($)</t>
        </is>
      </c>
      <c r="F7" s="9" t="inlineStr">
        <is>
          <t>Notes</t>
        </is>
      </c>
      <c r="G7" s="9" t="inlineStr">
        <is>
          <t>Cumulative ($)</t>
        </is>
      </c>
    </row>
    <row r="8" ht="18" customHeight="1">
      <c r="A8" s="11" t="inlineStr">
        <is>
          <t>01-May-26</t>
        </is>
      </c>
      <c r="B8" s="11" t="inlineStr">
        <is>
          <t>Rent</t>
        </is>
      </c>
      <c r="C8" s="22" t="inlineStr">
        <is>
          <t>Office rent – May</t>
        </is>
      </c>
      <c r="D8" s="11" t="inlineStr">
        <is>
          <t>Bank Transfer</t>
        </is>
      </c>
      <c r="E8" s="12" t="n">
        <v>1200</v>
      </c>
      <c r="F8" s="22" t="inlineStr">
        <is>
          <t>Monthly fixed</t>
        </is>
      </c>
      <c r="G8" s="13">
        <f>SUM($E$8:E8)</f>
        <v/>
      </c>
    </row>
    <row r="9" ht="18" customHeight="1">
      <c r="A9" s="23" t="inlineStr">
        <is>
          <t>02-May-26</t>
        </is>
      </c>
      <c r="B9" s="23" t="inlineStr">
        <is>
          <t>Utilities</t>
        </is>
      </c>
      <c r="C9" s="24" t="inlineStr">
        <is>
          <t>Electricity bill</t>
        </is>
      </c>
      <c r="D9" s="23" t="inlineStr">
        <is>
          <t>Bank Transfer</t>
        </is>
      </c>
      <c r="E9" s="25" t="n">
        <v>185.5</v>
      </c>
      <c r="F9" s="24" t="inlineStr"/>
      <c r="G9" s="26">
        <f>SUM($E$8:E9)</f>
        <v/>
      </c>
    </row>
    <row r="10" ht="18" customHeight="1">
      <c r="A10" s="11" t="inlineStr">
        <is>
          <t>03-May-26</t>
        </is>
      </c>
      <c r="B10" s="11" t="inlineStr">
        <is>
          <t>Supplies</t>
        </is>
      </c>
      <c r="C10" s="22" t="inlineStr">
        <is>
          <t>Printer paper &amp; toner</t>
        </is>
      </c>
      <c r="D10" s="11" t="inlineStr">
        <is>
          <t>Cash</t>
        </is>
      </c>
      <c r="E10" s="12" t="n">
        <v>67.8</v>
      </c>
      <c r="F10" s="22" t="inlineStr"/>
      <c r="G10" s="13">
        <f>SUM($E$8:E10)</f>
        <v/>
      </c>
    </row>
    <row r="11" ht="18" customHeight="1">
      <c r="A11" s="23" t="inlineStr">
        <is>
          <t>05-May-26</t>
        </is>
      </c>
      <c r="B11" s="23" t="inlineStr">
        <is>
          <t>Internet</t>
        </is>
      </c>
      <c r="C11" s="24" t="inlineStr">
        <is>
          <t>Broadband – May</t>
        </is>
      </c>
      <c r="D11" s="23" t="inlineStr">
        <is>
          <t>Auto Debit</t>
        </is>
      </c>
      <c r="E11" s="25" t="n">
        <v>49.99</v>
      </c>
      <c r="F11" s="24" t="inlineStr"/>
      <c r="G11" s="26">
        <f>SUM($E$8:E11)</f>
        <v/>
      </c>
    </row>
    <row r="12" ht="18" customHeight="1">
      <c r="A12" s="11" t="inlineStr">
        <is>
          <t>07-May-26</t>
        </is>
      </c>
      <c r="B12" s="11" t="inlineStr">
        <is>
          <t>Marketing</t>
        </is>
      </c>
      <c r="C12" s="22" t="inlineStr">
        <is>
          <t>Facebook Ads</t>
        </is>
      </c>
      <c r="D12" s="11" t="inlineStr">
        <is>
          <t>Credit Card</t>
        </is>
      </c>
      <c r="E12" s="12" t="n">
        <v>150</v>
      </c>
      <c r="F12" s="22" t="inlineStr">
        <is>
          <t>Campaign #12</t>
        </is>
      </c>
      <c r="G12" s="13">
        <f>SUM($E$8:E12)</f>
        <v/>
      </c>
    </row>
    <row r="13" ht="18" customHeight="1">
      <c r="A13" s="23" t="inlineStr">
        <is>
          <t>08-May-26</t>
        </is>
      </c>
      <c r="B13" s="23" t="inlineStr">
        <is>
          <t>Salaries</t>
        </is>
      </c>
      <c r="C13" s="24" t="inlineStr">
        <is>
          <t>Part-time staff wage</t>
        </is>
      </c>
      <c r="D13" s="23" t="inlineStr">
        <is>
          <t>Bank Transfer</t>
        </is>
      </c>
      <c r="E13" s="25" t="n">
        <v>600</v>
      </c>
      <c r="F13" s="24" t="inlineStr">
        <is>
          <t>2 staff x 4 days</t>
        </is>
      </c>
      <c r="G13" s="26">
        <f>SUM($E$8:E13)</f>
        <v/>
      </c>
    </row>
    <row r="14" ht="18" customHeight="1">
      <c r="A14" s="11" t="inlineStr">
        <is>
          <t>10-May-26</t>
        </is>
      </c>
      <c r="B14" s="11" t="inlineStr">
        <is>
          <t>Equipment</t>
        </is>
      </c>
      <c r="C14" s="22" t="inlineStr">
        <is>
          <t>USB hub for counter PC</t>
        </is>
      </c>
      <c r="D14" s="11" t="inlineStr">
        <is>
          <t>Cash</t>
        </is>
      </c>
      <c r="E14" s="12" t="n">
        <v>34.99</v>
      </c>
      <c r="F14" s="22" t="inlineStr"/>
      <c r="G14" s="13">
        <f>SUM($E$8:E14)</f>
        <v/>
      </c>
    </row>
    <row r="15" ht="18" customHeight="1">
      <c r="A15" s="23" t="inlineStr">
        <is>
          <t>12-May-26</t>
        </is>
      </c>
      <c r="B15" s="23" t="inlineStr">
        <is>
          <t>Supplies</t>
        </is>
      </c>
      <c r="C15" s="24" t="inlineStr">
        <is>
          <t>Cleaning supplies</t>
        </is>
      </c>
      <c r="D15" s="23" t="inlineStr">
        <is>
          <t>Cash</t>
        </is>
      </c>
      <c r="E15" s="25" t="n">
        <v>22.4</v>
      </c>
      <c r="F15" s="24" t="inlineStr"/>
      <c r="G15" s="26">
        <f>SUM($E$8:E15)</f>
        <v/>
      </c>
    </row>
    <row r="16" ht="18" customHeight="1">
      <c r="A16" s="11" t="inlineStr">
        <is>
          <t>14-May-26</t>
        </is>
      </c>
      <c r="B16" s="11" t="inlineStr">
        <is>
          <t>Transport</t>
        </is>
      </c>
      <c r="C16" s="22" t="inlineStr">
        <is>
          <t>Delivery – supplier pickup</t>
        </is>
      </c>
      <c r="D16" s="11" t="inlineStr">
        <is>
          <t>Cash</t>
        </is>
      </c>
      <c r="E16" s="12" t="n">
        <v>18</v>
      </c>
      <c r="F16" s="22" t="inlineStr"/>
      <c r="G16" s="13">
        <f>SUM($E$8:E16)</f>
        <v/>
      </c>
    </row>
    <row r="17" ht="18" customHeight="1">
      <c r="A17" s="23" t="inlineStr">
        <is>
          <t>15-May-26</t>
        </is>
      </c>
      <c r="B17" s="23" t="inlineStr">
        <is>
          <t>Marketing</t>
        </is>
      </c>
      <c r="C17" s="24" t="inlineStr">
        <is>
          <t>Instagram boost post</t>
        </is>
      </c>
      <c r="D17" s="23" t="inlineStr">
        <is>
          <t>Credit Card</t>
        </is>
      </c>
      <c r="E17" s="25" t="n">
        <v>50</v>
      </c>
      <c r="F17" s="24" t="inlineStr"/>
      <c r="G17" s="26">
        <f>SUM($E$8:E17)</f>
        <v/>
      </c>
    </row>
    <row r="18" ht="18" customHeight="1">
      <c r="A18" s="11" t="inlineStr">
        <is>
          <t>18-May-26</t>
        </is>
      </c>
      <c r="B18" s="11" t="inlineStr">
        <is>
          <t>Utilities</t>
        </is>
      </c>
      <c r="C18" s="22" t="inlineStr">
        <is>
          <t>Water bill</t>
        </is>
      </c>
      <c r="D18" s="11" t="inlineStr">
        <is>
          <t>Bank Transfer</t>
        </is>
      </c>
      <c r="E18" s="12" t="n">
        <v>42</v>
      </c>
      <c r="F18" s="22" t="inlineStr"/>
      <c r="G18" s="13">
        <f>SUM($E$8:E18)</f>
        <v/>
      </c>
    </row>
    <row r="19" ht="18" customHeight="1">
      <c r="A19" s="23" t="inlineStr">
        <is>
          <t>20-May-26</t>
        </is>
      </c>
      <c r="B19" s="23" t="inlineStr">
        <is>
          <t>Supplies</t>
        </is>
      </c>
      <c r="C19" s="24" t="inlineStr">
        <is>
          <t>Stationery restock</t>
        </is>
      </c>
      <c r="D19" s="23" t="inlineStr">
        <is>
          <t>Cash</t>
        </is>
      </c>
      <c r="E19" s="25" t="n">
        <v>31.2</v>
      </c>
      <c r="F19" s="24" t="inlineStr"/>
      <c r="G19" s="26">
        <f>SUM($E$8:E19)</f>
        <v/>
      </c>
    </row>
    <row r="20" ht="18" customHeight="1">
      <c r="A20" s="11" t="inlineStr">
        <is>
          <t>22-May-26</t>
        </is>
      </c>
      <c r="B20" s="11" t="inlineStr">
        <is>
          <t>Maintenance</t>
        </is>
      </c>
      <c r="C20" s="22" t="inlineStr">
        <is>
          <t>AC servicing</t>
        </is>
      </c>
      <c r="D20" s="11" t="inlineStr">
        <is>
          <t>Cash</t>
        </is>
      </c>
      <c r="E20" s="12" t="n">
        <v>80</v>
      </c>
      <c r="F20" s="22" t="inlineStr">
        <is>
          <t>Annual service</t>
        </is>
      </c>
      <c r="G20" s="13">
        <f>SUM($E$8:E20)</f>
        <v/>
      </c>
    </row>
    <row r="21" ht="18" customHeight="1">
      <c r="A21" s="23" t="inlineStr">
        <is>
          <t>25-May-26</t>
        </is>
      </c>
      <c r="B21" s="23" t="inlineStr">
        <is>
          <t>Transport</t>
        </is>
      </c>
      <c r="C21" s="24" t="inlineStr">
        <is>
          <t>Delivery fuel</t>
        </is>
      </c>
      <c r="D21" s="23" t="inlineStr">
        <is>
          <t>Cash</t>
        </is>
      </c>
      <c r="E21" s="25" t="n">
        <v>15</v>
      </c>
      <c r="F21" s="24" t="inlineStr"/>
      <c r="G21" s="26">
        <f>SUM($E$8:E21)</f>
        <v/>
      </c>
    </row>
    <row r="22" ht="18" customHeight="1">
      <c r="A22" s="11" t="inlineStr">
        <is>
          <t>28-May-26</t>
        </is>
      </c>
      <c r="B22" s="11" t="inlineStr">
        <is>
          <t>Miscellaneous</t>
        </is>
      </c>
      <c r="C22" s="22" t="inlineStr">
        <is>
          <t>Staff refreshments</t>
        </is>
      </c>
      <c r="D22" s="11" t="inlineStr">
        <is>
          <t>Cash</t>
        </is>
      </c>
      <c r="E22" s="12" t="n">
        <v>33.12</v>
      </c>
      <c r="F22" s="22" t="inlineStr"/>
      <c r="G22" s="13">
        <f>SUM($E$8:E22)</f>
        <v/>
      </c>
    </row>
    <row r="23" ht="18" customHeight="1">
      <c r="A23" s="23" t="inlineStr">
        <is>
          <t>29-May-26</t>
        </is>
      </c>
      <c r="B23" s="23" t="inlineStr">
        <is>
          <t>Insurance</t>
        </is>
      </c>
      <c r="C23" s="24" t="inlineStr">
        <is>
          <t>Business liability premium</t>
        </is>
      </c>
      <c r="D23" s="23" t="inlineStr">
        <is>
          <t>Bank Transfer</t>
        </is>
      </c>
      <c r="E23" s="25" t="n">
        <v>150</v>
      </c>
      <c r="F23" s="24" t="inlineStr">
        <is>
          <t>Monthly</t>
        </is>
      </c>
      <c r="G23" s="26">
        <f>SUM($E$8:E23)</f>
        <v/>
      </c>
    </row>
    <row r="24" ht="18" customHeight="1">
      <c r="A24" s="11" t="inlineStr">
        <is>
          <t>30-May-26</t>
        </is>
      </c>
      <c r="B24" s="11" t="inlineStr">
        <is>
          <t>Software</t>
        </is>
      </c>
      <c r="C24" s="22" t="inlineStr">
        <is>
          <t>Accounting software license</t>
        </is>
      </c>
      <c r="D24" s="11" t="inlineStr">
        <is>
          <t>Credit Card</t>
        </is>
      </c>
      <c r="E24" s="12" t="n">
        <v>29.99</v>
      </c>
      <c r="F24" s="22" t="inlineStr"/>
      <c r="G24" s="13">
        <f>SUM($E$8:E24)</f>
        <v/>
      </c>
    </row>
    <row r="25" ht="18" customHeight="1">
      <c r="A25" s="23" t="inlineStr">
        <is>
          <t>31-May-26</t>
        </is>
      </c>
      <c r="B25" s="23" t="inlineStr">
        <is>
          <t>Supplies</t>
        </is>
      </c>
      <c r="C25" s="24" t="inlineStr">
        <is>
          <t>Packaging materials</t>
        </is>
      </c>
      <c r="D25" s="23" t="inlineStr">
        <is>
          <t>Cash</t>
        </is>
      </c>
      <c r="E25" s="25" t="n">
        <v>67</v>
      </c>
      <c r="F25" s="24" t="inlineStr"/>
      <c r="G25" s="26">
        <f>SUM($E$8:E25)</f>
        <v/>
      </c>
    </row>
    <row r="26" ht="22" customHeight="1">
      <c r="A26" s="9" t="inlineStr"/>
      <c r="B26" s="9" t="inlineStr"/>
      <c r="C26" s="27" t="inlineStr">
        <is>
          <t>MONTH TOTAL</t>
        </is>
      </c>
      <c r="D26" s="9" t="inlineStr"/>
      <c r="E26" s="28">
        <f>SUM(E8:E25)</f>
        <v/>
      </c>
      <c r="F26" s="9" t="inlineStr"/>
      <c r="G26" s="9" t="inlineStr"/>
    </row>
  </sheetData>
  <mergeCells count="2">
    <mergeCell ref="A2:G2"/>
    <mergeCell ref="A1:G1"/>
  </mergeCells>
  <conditionalFormatting sqref="E8:E25">
    <cfRule type="cellIs" priority="1" operator="greaterThan" dxfId="2">
      <formula>200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0" customWidth="1" min="3" max="3"/>
    <col width="16" customWidth="1" min="4" max="4"/>
    <col width="14" customWidth="1" min="5" max="5"/>
    <col width="22" customWidth="1" min="6" max="6"/>
    <col width="16" customWidth="1" min="7" max="7"/>
  </cols>
  <sheetData>
    <row r="1" ht="40" customHeight="1">
      <c r="A1" s="19" t="inlineStr">
        <is>
          <t>ABC Store — June 2026 Detailed Expenses</t>
        </is>
      </c>
    </row>
    <row r="2" ht="18" customHeight="1">
      <c r="A2" s="2" t="inlineStr">
        <is>
          <t>Farhan Siddique | Virtual Assistant &amp; Data Specialist | May 2026</t>
        </is>
      </c>
    </row>
    <row r="3">
      <c r="P3">
        <f>SUM(E8:E25)</f>
        <v/>
      </c>
    </row>
    <row r="4" ht="18" customHeight="1">
      <c r="A4" s="4" t="inlineStr">
        <is>
          <t>Month Budget</t>
        </is>
      </c>
      <c r="B4" s="4" t="inlineStr">
        <is>
          <t>Total Spent</t>
        </is>
      </c>
      <c r="C4" s="4" t="inlineStr">
        <is>
          <t>Remaining</t>
        </is>
      </c>
      <c r="D4" s="4" t="inlineStr">
        <is>
          <t># Transactions</t>
        </is>
      </c>
      <c r="E4" s="4" t="inlineStr">
        <is>
          <t>Avg Transaction</t>
        </is>
      </c>
    </row>
    <row r="5" ht="28" customHeight="1">
      <c r="A5" s="20" t="n">
        <v>3600</v>
      </c>
      <c r="B5" s="20">
        <f>SUM(E8:E60)</f>
        <v/>
      </c>
      <c r="C5" s="20">
        <f>A5-B5</f>
        <v/>
      </c>
      <c r="D5" s="21">
        <f>COUNTA(A8:A60)</f>
        <v/>
      </c>
      <c r="E5" s="20">
        <f>IF(D5&gt;0,B5/D5,0)</f>
        <v/>
      </c>
    </row>
    <row r="7" ht="22" customHeight="1">
      <c r="A7" s="9" t="inlineStr">
        <is>
          <t>Date</t>
        </is>
      </c>
      <c r="B7" s="9" t="inlineStr">
        <is>
          <t>Category</t>
        </is>
      </c>
      <c r="C7" s="9" t="inlineStr">
        <is>
          <t>Description</t>
        </is>
      </c>
      <c r="D7" s="9" t="inlineStr">
        <is>
          <t>Payment Method</t>
        </is>
      </c>
      <c r="E7" s="9" t="inlineStr">
        <is>
          <t>Amount ($)</t>
        </is>
      </c>
      <c r="F7" s="9" t="inlineStr">
        <is>
          <t>Notes</t>
        </is>
      </c>
      <c r="G7" s="9" t="inlineStr">
        <is>
          <t>Cumulative ($)</t>
        </is>
      </c>
    </row>
    <row r="8" ht="18" customHeight="1">
      <c r="A8" s="11" t="inlineStr">
        <is>
          <t>01-Jun-26</t>
        </is>
      </c>
      <c r="B8" s="11" t="inlineStr">
        <is>
          <t>Rent</t>
        </is>
      </c>
      <c r="C8" s="22" t="inlineStr">
        <is>
          <t>Office rent – June</t>
        </is>
      </c>
      <c r="D8" s="11" t="inlineStr">
        <is>
          <t>Bank Transfer</t>
        </is>
      </c>
      <c r="E8" s="12" t="n">
        <v>1200</v>
      </c>
      <c r="F8" s="22" t="inlineStr">
        <is>
          <t>Monthly fixed</t>
        </is>
      </c>
      <c r="G8" s="13">
        <f>SUM($E$8:E8)</f>
        <v/>
      </c>
    </row>
    <row r="9" ht="18" customHeight="1">
      <c r="A9" s="23" t="inlineStr">
        <is>
          <t>02-Jun-26</t>
        </is>
      </c>
      <c r="B9" s="23" t="inlineStr">
        <is>
          <t>Utilities</t>
        </is>
      </c>
      <c r="C9" s="24" t="inlineStr">
        <is>
          <t>Electricity bill</t>
        </is>
      </c>
      <c r="D9" s="23" t="inlineStr">
        <is>
          <t>Bank Transfer</t>
        </is>
      </c>
      <c r="E9" s="25" t="n">
        <v>225.6</v>
      </c>
      <c r="F9" s="24" t="inlineStr">
        <is>
          <t>Summer peak</t>
        </is>
      </c>
      <c r="G9" s="26">
        <f>SUM($E$8:E9)</f>
        <v/>
      </c>
    </row>
    <row r="10" ht="18" customHeight="1">
      <c r="A10" s="11" t="inlineStr">
        <is>
          <t>03-Jun-26</t>
        </is>
      </c>
      <c r="B10" s="11" t="inlineStr">
        <is>
          <t>Supplies</t>
        </is>
      </c>
      <c r="C10" s="22" t="inlineStr">
        <is>
          <t>Printer paper &amp; toner</t>
        </is>
      </c>
      <c r="D10" s="11" t="inlineStr">
        <is>
          <t>Cash</t>
        </is>
      </c>
      <c r="E10" s="12" t="n">
        <v>72</v>
      </c>
      <c r="F10" s="22" t="inlineStr"/>
      <c r="G10" s="13">
        <f>SUM($E$8:E10)</f>
        <v/>
      </c>
    </row>
    <row r="11" ht="18" customHeight="1">
      <c r="A11" s="23" t="inlineStr">
        <is>
          <t>05-Jun-26</t>
        </is>
      </c>
      <c r="B11" s="23" t="inlineStr">
        <is>
          <t>Internet</t>
        </is>
      </c>
      <c r="C11" s="24" t="inlineStr">
        <is>
          <t>Broadband – June</t>
        </is>
      </c>
      <c r="D11" s="23" t="inlineStr">
        <is>
          <t>Auto Debit</t>
        </is>
      </c>
      <c r="E11" s="25" t="n">
        <v>49.99</v>
      </c>
      <c r="F11" s="24" t="inlineStr"/>
      <c r="G11" s="26">
        <f>SUM($E$8:E11)</f>
        <v/>
      </c>
    </row>
    <row r="12" ht="18" customHeight="1">
      <c r="A12" s="11" t="inlineStr">
        <is>
          <t>07-Jun-26</t>
        </is>
      </c>
      <c r="B12" s="11" t="inlineStr">
        <is>
          <t>Marketing</t>
        </is>
      </c>
      <c r="C12" s="22" t="inlineStr">
        <is>
          <t>Mid-year sale campaign</t>
        </is>
      </c>
      <c r="D12" s="11" t="inlineStr">
        <is>
          <t>Credit Card</t>
        </is>
      </c>
      <c r="E12" s="12" t="n">
        <v>280</v>
      </c>
      <c r="F12" s="22" t="inlineStr">
        <is>
          <t>Google + FB</t>
        </is>
      </c>
      <c r="G12" s="13">
        <f>SUM($E$8:E12)</f>
        <v/>
      </c>
    </row>
    <row r="13" ht="18" customHeight="1">
      <c r="A13" s="23" t="inlineStr">
        <is>
          <t>08-Jun-26</t>
        </is>
      </c>
      <c r="B13" s="23" t="inlineStr">
        <is>
          <t>Salaries</t>
        </is>
      </c>
      <c r="C13" s="24" t="inlineStr">
        <is>
          <t>Part-time staff wage</t>
        </is>
      </c>
      <c r="D13" s="23" t="inlineStr">
        <is>
          <t>Bank Transfer</t>
        </is>
      </c>
      <c r="E13" s="25" t="n">
        <v>600</v>
      </c>
      <c r="F13" s="24" t="inlineStr"/>
      <c r="G13" s="26">
        <f>SUM($E$8:E13)</f>
        <v/>
      </c>
    </row>
    <row r="14" ht="18" customHeight="1">
      <c r="A14" s="11" t="inlineStr">
        <is>
          <t>10-Jun-26</t>
        </is>
      </c>
      <c r="B14" s="11" t="inlineStr">
        <is>
          <t>Equipment</t>
        </is>
      </c>
      <c r="C14" s="22" t="inlineStr">
        <is>
          <t>Monitor cleaning kit</t>
        </is>
      </c>
      <c r="D14" s="11" t="inlineStr">
        <is>
          <t>Cash</t>
        </is>
      </c>
      <c r="E14" s="12" t="n">
        <v>19.99</v>
      </c>
      <c r="F14" s="22" t="inlineStr"/>
      <c r="G14" s="13">
        <f>SUM($E$8:E14)</f>
        <v/>
      </c>
    </row>
    <row r="15" ht="18" customHeight="1">
      <c r="A15" s="23" t="inlineStr">
        <is>
          <t>12-Jun-26</t>
        </is>
      </c>
      <c r="B15" s="23" t="inlineStr">
        <is>
          <t>Supplies</t>
        </is>
      </c>
      <c r="C15" s="24" t="inlineStr">
        <is>
          <t>Cleaning supplies</t>
        </is>
      </c>
      <c r="D15" s="23" t="inlineStr">
        <is>
          <t>Cash</t>
        </is>
      </c>
      <c r="E15" s="25" t="n">
        <v>24</v>
      </c>
      <c r="F15" s="24" t="inlineStr"/>
      <c r="G15" s="26">
        <f>SUM($E$8:E15)</f>
        <v/>
      </c>
    </row>
    <row r="16" ht="18" customHeight="1">
      <c r="A16" s="11" t="inlineStr">
        <is>
          <t>14-Jun-26</t>
        </is>
      </c>
      <c r="B16" s="11" t="inlineStr">
        <is>
          <t>Transport</t>
        </is>
      </c>
      <c r="C16" s="22" t="inlineStr">
        <is>
          <t>Delivery – supplier pickup</t>
        </is>
      </c>
      <c r="D16" s="11" t="inlineStr">
        <is>
          <t>Cash</t>
        </is>
      </c>
      <c r="E16" s="12" t="n">
        <v>22</v>
      </c>
      <c r="F16" s="22" t="inlineStr"/>
      <c r="G16" s="13">
        <f>SUM($E$8:E16)</f>
        <v/>
      </c>
    </row>
    <row r="17" ht="18" customHeight="1">
      <c r="A17" s="23" t="inlineStr">
        <is>
          <t>15-Jun-26</t>
        </is>
      </c>
      <c r="B17" s="23" t="inlineStr">
        <is>
          <t>Marketing</t>
        </is>
      </c>
      <c r="C17" s="24" t="inlineStr">
        <is>
          <t>Influencer promotion</t>
        </is>
      </c>
      <c r="D17" s="23" t="inlineStr">
        <is>
          <t>Credit Card</t>
        </is>
      </c>
      <c r="E17" s="25" t="n">
        <v>150</v>
      </c>
      <c r="F17" s="24" t="inlineStr">
        <is>
          <t>Micro-influencer</t>
        </is>
      </c>
      <c r="G17" s="26">
        <f>SUM($E$8:E17)</f>
        <v/>
      </c>
    </row>
    <row r="18" ht="18" customHeight="1">
      <c r="A18" s="11" t="inlineStr">
        <is>
          <t>18-Jun-26</t>
        </is>
      </c>
      <c r="B18" s="11" t="inlineStr">
        <is>
          <t>Utilities</t>
        </is>
      </c>
      <c r="C18" s="22" t="inlineStr">
        <is>
          <t>Water bill</t>
        </is>
      </c>
      <c r="D18" s="11" t="inlineStr">
        <is>
          <t>Bank Transfer</t>
        </is>
      </c>
      <c r="E18" s="12" t="n">
        <v>44</v>
      </c>
      <c r="F18" s="22" t="inlineStr"/>
      <c r="G18" s="13">
        <f>SUM($E$8:E18)</f>
        <v/>
      </c>
    </row>
    <row r="19" ht="18" customHeight="1">
      <c r="A19" s="23" t="inlineStr">
        <is>
          <t>20-Jun-26</t>
        </is>
      </c>
      <c r="B19" s="23" t="inlineStr">
        <is>
          <t>Supplies</t>
        </is>
      </c>
      <c r="C19" s="24" t="inlineStr">
        <is>
          <t>Stationery restock</t>
        </is>
      </c>
      <c r="D19" s="23" t="inlineStr">
        <is>
          <t>Cash</t>
        </is>
      </c>
      <c r="E19" s="25" t="n">
        <v>35</v>
      </c>
      <c r="F19" s="24" t="inlineStr"/>
      <c r="G19" s="26">
        <f>SUM($E$8:E19)</f>
        <v/>
      </c>
    </row>
    <row r="20" ht="18" customHeight="1">
      <c r="A20" s="11" t="inlineStr">
        <is>
          <t>22-Jun-26</t>
        </is>
      </c>
      <c r="B20" s="11" t="inlineStr">
        <is>
          <t>Maintenance</t>
        </is>
      </c>
      <c r="C20" s="22" t="inlineStr">
        <is>
          <t>Pest control service</t>
        </is>
      </c>
      <c r="D20" s="11" t="inlineStr">
        <is>
          <t>Cash</t>
        </is>
      </c>
      <c r="E20" s="12" t="n">
        <v>90</v>
      </c>
      <c r="F20" s="22" t="inlineStr">
        <is>
          <t>Quarterly</t>
        </is>
      </c>
      <c r="G20" s="13">
        <f>SUM($E$8:E20)</f>
        <v/>
      </c>
    </row>
    <row r="21" ht="18" customHeight="1">
      <c r="A21" s="23" t="inlineStr">
        <is>
          <t>25-Jun-26</t>
        </is>
      </c>
      <c r="B21" s="23" t="inlineStr">
        <is>
          <t>Transport</t>
        </is>
      </c>
      <c r="C21" s="24" t="inlineStr">
        <is>
          <t>Courier charges</t>
        </is>
      </c>
      <c r="D21" s="23" t="inlineStr">
        <is>
          <t>Cash</t>
        </is>
      </c>
      <c r="E21" s="25" t="n">
        <v>27</v>
      </c>
      <c r="F21" s="24" t="inlineStr"/>
      <c r="G21" s="26">
        <f>SUM($E$8:E21)</f>
        <v/>
      </c>
    </row>
    <row r="22" ht="18" customHeight="1">
      <c r="A22" s="11" t="inlineStr">
        <is>
          <t>28-Jun-26</t>
        </is>
      </c>
      <c r="B22" s="11" t="inlineStr">
        <is>
          <t>Miscellaneous</t>
        </is>
      </c>
      <c r="C22" s="22" t="inlineStr">
        <is>
          <t>Mid-year staff lunch</t>
        </is>
      </c>
      <c r="D22" s="11" t="inlineStr">
        <is>
          <t>Cash</t>
        </is>
      </c>
      <c r="E22" s="12" t="n">
        <v>120</v>
      </c>
      <c r="F22" s="22" t="inlineStr">
        <is>
          <t>12 staff</t>
        </is>
      </c>
      <c r="G22" s="13">
        <f>SUM($E$8:E22)</f>
        <v/>
      </c>
    </row>
    <row r="23" ht="18" customHeight="1">
      <c r="A23" s="23" t="inlineStr">
        <is>
          <t>29-Jun-26</t>
        </is>
      </c>
      <c r="B23" s="23" t="inlineStr">
        <is>
          <t>Insurance</t>
        </is>
      </c>
      <c r="C23" s="24" t="inlineStr">
        <is>
          <t>Business liability premium</t>
        </is>
      </c>
      <c r="D23" s="23" t="inlineStr">
        <is>
          <t>Bank Transfer</t>
        </is>
      </c>
      <c r="E23" s="25" t="n">
        <v>150</v>
      </c>
      <c r="F23" s="24" t="inlineStr">
        <is>
          <t>Monthly</t>
        </is>
      </c>
      <c r="G23" s="26">
        <f>SUM($E$8:E23)</f>
        <v/>
      </c>
    </row>
    <row r="24" ht="18" customHeight="1">
      <c r="A24" s="11" t="inlineStr">
        <is>
          <t>30-Jun-26</t>
        </is>
      </c>
      <c r="B24" s="11" t="inlineStr">
        <is>
          <t>Software</t>
        </is>
      </c>
      <c r="C24" s="22" t="inlineStr">
        <is>
          <t>All subscriptions – June</t>
        </is>
      </c>
      <c r="D24" s="11" t="inlineStr">
        <is>
          <t>Credit Card</t>
        </is>
      </c>
      <c r="E24" s="12" t="n">
        <v>68.98</v>
      </c>
      <c r="F24" s="22" t="inlineStr"/>
      <c r="G24" s="13">
        <f>SUM($E$8:E24)</f>
        <v/>
      </c>
    </row>
    <row r="25" ht="18" customHeight="1">
      <c r="A25" s="23" t="inlineStr">
        <is>
          <t>30-Jun-26</t>
        </is>
      </c>
      <c r="B25" s="23" t="inlineStr">
        <is>
          <t>Supplies</t>
        </is>
      </c>
      <c r="C25" s="24" t="inlineStr">
        <is>
          <t>Packaging materials</t>
        </is>
      </c>
      <c r="D25" s="23" t="inlineStr">
        <is>
          <t>Cash</t>
        </is>
      </c>
      <c r="E25" s="25" t="n">
        <v>74</v>
      </c>
      <c r="F25" s="24" t="inlineStr"/>
      <c r="G25" s="26">
        <f>SUM($E$8:E25)</f>
        <v/>
      </c>
    </row>
    <row r="26" ht="22" customHeight="1">
      <c r="A26" s="9" t="inlineStr"/>
      <c r="B26" s="9" t="inlineStr"/>
      <c r="C26" s="27" t="inlineStr">
        <is>
          <t>MONTH TOTAL</t>
        </is>
      </c>
      <c r="D26" s="9" t="inlineStr"/>
      <c r="E26" s="28">
        <f>SUM(E8:E25)</f>
        <v/>
      </c>
      <c r="F26" s="9" t="inlineStr"/>
      <c r="G26" s="9" t="inlineStr"/>
    </row>
  </sheetData>
  <mergeCells count="2">
    <mergeCell ref="A2:G2"/>
    <mergeCell ref="A1:G1"/>
  </mergeCells>
  <conditionalFormatting sqref="E8:E25">
    <cfRule type="cellIs" priority="1" operator="greaterThan" dxfId="2">
      <formula>200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</cols>
  <sheetData>
    <row r="1" ht="40" customHeight="1">
      <c r="A1" s="19" t="inlineStr">
        <is>
          <t>ABC Store — Category Breakdown by Month 2026</t>
        </is>
      </c>
    </row>
    <row r="2" ht="18" customHeight="1">
      <c r="A2" s="2" t="inlineStr">
        <is>
          <t>Farhan Siddique | Virtual Assistant &amp; Data Specialist | May 2026</t>
        </is>
      </c>
    </row>
    <row r="4" ht="22" customHeight="1">
      <c r="A4" s="29" t="inlineStr">
        <is>
          <t>Category</t>
        </is>
      </c>
      <c r="B4" s="9" t="inlineStr">
        <is>
          <t>Jan</t>
        </is>
      </c>
      <c r="C4" s="9" t="inlineStr">
        <is>
          <t>Feb</t>
        </is>
      </c>
      <c r="D4" s="9" t="inlineStr">
        <is>
          <t>Mar</t>
        </is>
      </c>
      <c r="E4" s="9" t="inlineStr">
        <is>
          <t>Apr</t>
        </is>
      </c>
      <c r="F4" s="9" t="inlineStr">
        <is>
          <t>May</t>
        </is>
      </c>
      <c r="G4" s="9" t="inlineStr">
        <is>
          <t>Jun</t>
        </is>
      </c>
      <c r="H4" s="30" t="inlineStr">
        <is>
          <t>YTD Total</t>
        </is>
      </c>
      <c r="I4" s="30" t="inlineStr">
        <is>
          <t>% of Total</t>
        </is>
      </c>
    </row>
    <row r="5" ht="20" customHeight="1">
      <c r="A5" s="10" t="inlineStr">
        <is>
          <t>Rent</t>
        </is>
      </c>
      <c r="B5" s="13" t="n">
        <v>1200</v>
      </c>
      <c r="C5" s="13" t="n">
        <v>1200</v>
      </c>
      <c r="D5" s="13" t="n">
        <v>1200</v>
      </c>
      <c r="E5" s="13" t="n">
        <v>1200</v>
      </c>
      <c r="F5" s="13" t="n">
        <v>1200</v>
      </c>
      <c r="G5" s="13" t="n">
        <v>1200</v>
      </c>
      <c r="H5" s="31">
        <f>SUM(B5:G5)</f>
        <v/>
      </c>
      <c r="I5" s="15">
        <f>IF(SUM($H$5:$H$16)&gt;0,H5/SUM($H$5:$H$16),0)</f>
        <v/>
      </c>
    </row>
    <row r="6" ht="20" customHeight="1">
      <c r="A6" s="32" t="inlineStr">
        <is>
          <t>Utilities</t>
        </is>
      </c>
      <c r="B6" s="26" t="n">
        <v>233.5</v>
      </c>
      <c r="C6" s="26" t="n">
        <v>223</v>
      </c>
      <c r="D6" s="26" t="n">
        <v>204.4</v>
      </c>
      <c r="E6" s="26" t="n">
        <v>249.8</v>
      </c>
      <c r="F6" s="26" t="n">
        <v>227.5</v>
      </c>
      <c r="G6" s="26" t="n">
        <v>269.6</v>
      </c>
      <c r="H6" s="31">
        <f>SUM(B6:G6)</f>
        <v/>
      </c>
      <c r="I6" s="33">
        <f>IF(SUM($H$5:$H$16)&gt;0,H6/SUM($H$5:$H$16),0)</f>
        <v/>
      </c>
    </row>
    <row r="7" ht="20" customHeight="1">
      <c r="A7" s="10" t="inlineStr">
        <is>
          <t>Supplies</t>
        </is>
      </c>
      <c r="B7" s="13" t="n">
        <v>209.4</v>
      </c>
      <c r="C7" s="13" t="n">
        <v>146.3</v>
      </c>
      <c r="D7" s="13" t="n">
        <v>203.6</v>
      </c>
      <c r="E7" s="13" t="n">
        <v>157.8</v>
      </c>
      <c r="F7" s="13" t="n">
        <v>188.4</v>
      </c>
      <c r="G7" s="13" t="n">
        <v>205</v>
      </c>
      <c r="H7" s="31">
        <f>SUM(B7:G7)</f>
        <v/>
      </c>
      <c r="I7" s="15">
        <f>IF(SUM($H$5:$H$16)&gt;0,H7/SUM($H$5:$H$16),0)</f>
        <v/>
      </c>
    </row>
    <row r="8" ht="20" customHeight="1">
      <c r="A8" s="32" t="inlineStr">
        <is>
          <t>Internet</t>
        </is>
      </c>
      <c r="B8" s="26" t="n">
        <v>49.99</v>
      </c>
      <c r="C8" s="26" t="n">
        <v>49.99</v>
      </c>
      <c r="D8" s="26" t="n">
        <v>49.99</v>
      </c>
      <c r="E8" s="26" t="n">
        <v>49.99</v>
      </c>
      <c r="F8" s="26" t="n">
        <v>49.99</v>
      </c>
      <c r="G8" s="26" t="n">
        <v>49.99</v>
      </c>
      <c r="H8" s="31">
        <f>SUM(B8:G8)</f>
        <v/>
      </c>
      <c r="I8" s="33">
        <f>IF(SUM($H$5:$H$16)&gt;0,H8/SUM($H$5:$H$16),0)</f>
        <v/>
      </c>
    </row>
    <row r="9" ht="20" customHeight="1">
      <c r="A9" s="10" t="inlineStr">
        <is>
          <t>Marketing</t>
        </is>
      </c>
      <c r="B9" s="13" t="n">
        <v>250</v>
      </c>
      <c r="C9" s="13" t="n">
        <v>260</v>
      </c>
      <c r="D9" s="13" t="n">
        <v>269</v>
      </c>
      <c r="E9" s="13" t="n">
        <v>329</v>
      </c>
      <c r="F9" s="13" t="n">
        <v>200</v>
      </c>
      <c r="G9" s="13" t="n">
        <v>430</v>
      </c>
      <c r="H9" s="31">
        <f>SUM(B9:G9)</f>
        <v/>
      </c>
      <c r="I9" s="15">
        <f>IF(SUM($H$5:$H$16)&gt;0,H9/SUM($H$5:$H$16),0)</f>
        <v/>
      </c>
    </row>
    <row r="10" ht="20" customHeight="1">
      <c r="A10" s="32" t="inlineStr">
        <is>
          <t>Salaries</t>
        </is>
      </c>
      <c r="B10" s="26" t="n">
        <v>600</v>
      </c>
      <c r="C10" s="26" t="n">
        <v>600</v>
      </c>
      <c r="D10" s="26" t="n">
        <v>600</v>
      </c>
      <c r="E10" s="26" t="n">
        <v>600</v>
      </c>
      <c r="F10" s="26" t="n">
        <v>600</v>
      </c>
      <c r="G10" s="26" t="n">
        <v>600</v>
      </c>
      <c r="H10" s="31">
        <f>SUM(B10:G10)</f>
        <v/>
      </c>
      <c r="I10" s="33">
        <f>IF(SUM($H$5:$H$16)&gt;0,H10/SUM($H$5:$H$16),0)</f>
        <v/>
      </c>
    </row>
    <row r="11" ht="20" customHeight="1">
      <c r="A11" s="10" t="inlineStr">
        <is>
          <t>Equipment</t>
        </is>
      </c>
      <c r="B11" s="13" t="n">
        <v>59.99</v>
      </c>
      <c r="C11" s="13" t="n">
        <v>24.99</v>
      </c>
      <c r="D11" s="13" t="n">
        <v>39.98</v>
      </c>
      <c r="E11" s="13" t="n">
        <v>49.99</v>
      </c>
      <c r="F11" s="13" t="n">
        <v>34.99</v>
      </c>
      <c r="G11" s="13" t="n">
        <v>19.99</v>
      </c>
      <c r="H11" s="31">
        <f>SUM(B11:G11)</f>
        <v/>
      </c>
      <c r="I11" s="15">
        <f>IF(SUM($H$5:$H$16)&gt;0,H11/SUM($H$5:$H$16),0)</f>
        <v/>
      </c>
    </row>
    <row r="12" ht="20" customHeight="1">
      <c r="A12" s="32" t="inlineStr">
        <is>
          <t>Transport</t>
        </is>
      </c>
      <c r="B12" s="26" t="n">
        <v>46.5</v>
      </c>
      <c r="C12" s="26" t="n">
        <v>41</v>
      </c>
      <c r="D12" s="26" t="n">
        <v>36</v>
      </c>
      <c r="E12" s="26" t="n">
        <v>43</v>
      </c>
      <c r="F12" s="26" t="n">
        <v>33</v>
      </c>
      <c r="G12" s="26" t="n">
        <v>49</v>
      </c>
      <c r="H12" s="31">
        <f>SUM(B12:G12)</f>
        <v/>
      </c>
      <c r="I12" s="33">
        <f>IF(SUM($H$5:$H$16)&gt;0,H12/SUM($H$5:$H$16),0)</f>
        <v/>
      </c>
    </row>
    <row r="13" ht="20" customHeight="1">
      <c r="A13" s="10" t="inlineStr">
        <is>
          <t>Maintenance</t>
        </is>
      </c>
      <c r="B13" s="13" t="n">
        <v>45</v>
      </c>
      <c r="C13" s="13" t="n">
        <v>120</v>
      </c>
      <c r="D13" s="13" t="n">
        <v>60</v>
      </c>
      <c r="E13" s="13" t="n">
        <v>85</v>
      </c>
      <c r="F13" s="13" t="n">
        <v>80</v>
      </c>
      <c r="G13" s="13" t="n">
        <v>90</v>
      </c>
      <c r="H13" s="31">
        <f>SUM(B13:G13)</f>
        <v/>
      </c>
      <c r="I13" s="15">
        <f>IF(SUM($H$5:$H$16)&gt;0,H13/SUM($H$5:$H$16),0)</f>
        <v/>
      </c>
    </row>
    <row r="14" ht="20" customHeight="1">
      <c r="A14" s="32" t="inlineStr">
        <is>
          <t>Miscellaneous</t>
        </is>
      </c>
      <c r="B14" s="26" t="n">
        <v>33.12</v>
      </c>
      <c r="C14" s="26" t="n">
        <v>55</v>
      </c>
      <c r="D14" s="26" t="n">
        <v>38</v>
      </c>
      <c r="E14" s="26" t="n">
        <v>80</v>
      </c>
      <c r="F14" s="26" t="n">
        <v>33.12</v>
      </c>
      <c r="G14" s="26" t="n">
        <v>120</v>
      </c>
      <c r="H14" s="31">
        <f>SUM(B14:G14)</f>
        <v/>
      </c>
      <c r="I14" s="33">
        <f>IF(SUM($H$5:$H$16)&gt;0,H14/SUM($H$5:$H$16),0)</f>
        <v/>
      </c>
    </row>
    <row r="15" ht="20" customHeight="1">
      <c r="A15" s="10" t="inlineStr">
        <is>
          <t>Insurance</t>
        </is>
      </c>
      <c r="B15" s="13" t="n">
        <v>150</v>
      </c>
      <c r="C15" s="13" t="n">
        <v>150</v>
      </c>
      <c r="D15" s="13" t="n">
        <v>150</v>
      </c>
      <c r="E15" s="13" t="n">
        <v>150</v>
      </c>
      <c r="F15" s="13" t="n">
        <v>150</v>
      </c>
      <c r="G15" s="13" t="n">
        <v>150</v>
      </c>
      <c r="H15" s="31">
        <f>SUM(B15:G15)</f>
        <v/>
      </c>
      <c r="I15" s="15">
        <f>IF(SUM($H$5:$H$16)&gt;0,H15/SUM($H$5:$H$16),0)</f>
        <v/>
      </c>
    </row>
    <row r="16" ht="20" customHeight="1">
      <c r="A16" s="32" t="inlineStr">
        <is>
          <t>Software</t>
        </is>
      </c>
      <c r="B16" s="26" t="n">
        <v>29.99</v>
      </c>
      <c r="C16" s="26" t="n">
        <v>14.99</v>
      </c>
      <c r="D16" s="26" t="n">
        <v>25</v>
      </c>
      <c r="E16" s="26" t="n">
        <v>29.99</v>
      </c>
      <c r="F16" s="26" t="n">
        <v>29.99</v>
      </c>
      <c r="G16" s="26" t="n">
        <v>68.98</v>
      </c>
      <c r="H16" s="31">
        <f>SUM(B16:G16)</f>
        <v/>
      </c>
      <c r="I16" s="33">
        <f>IF(SUM($H$5:$H$16)&gt;0,H16/SUM($H$5:$H$16),0)</f>
        <v/>
      </c>
    </row>
    <row r="17" ht="22" customHeight="1">
      <c r="A17" s="9" t="inlineStr">
        <is>
          <t>TOTAL</t>
        </is>
      </c>
      <c r="B17" s="17">
        <f>SUM(B5:B16)</f>
        <v/>
      </c>
      <c r="C17" s="17">
        <f>SUM(C5:C16)</f>
        <v/>
      </c>
      <c r="D17" s="17">
        <f>SUM(D5:D16)</f>
        <v/>
      </c>
      <c r="E17" s="17">
        <f>SUM(E5:E16)</f>
        <v/>
      </c>
      <c r="F17" s="17">
        <f>SUM(F5:F16)</f>
        <v/>
      </c>
      <c r="G17" s="17">
        <f>SUM(G5:G16)</f>
        <v/>
      </c>
      <c r="H17" s="17">
        <f>SUM(H5:H16)</f>
        <v/>
      </c>
      <c r="I17" s="34" t="inlineStr">
        <is>
          <t>100.0%</t>
        </is>
      </c>
    </row>
  </sheetData>
  <mergeCells count="2">
    <mergeCell ref="A1:I1"/>
    <mergeCell ref="A2:I2"/>
  </mergeCells>
  <conditionalFormatting sqref="B5:G1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 ht="40" customHeight="1">
      <c r="A1" s="19" t="inlineStr">
        <is>
          <t>ABC Store — Year-to-Date Analysis 2026</t>
        </is>
      </c>
    </row>
    <row r="2" ht="18" customHeight="1">
      <c r="A2" s="2" t="inlineStr">
        <is>
          <t>Farhan Siddique | Virtual Assistant &amp; Data Specialist | May 2026</t>
        </is>
      </c>
    </row>
    <row r="4" ht="22" customHeight="1">
      <c r="A4" s="3" t="inlineStr">
        <is>
          <t>BUDGET vs ACTUAL VARIANCE ANALYSIS</t>
        </is>
      </c>
    </row>
    <row r="5" ht="22" customHeight="1">
      <c r="A5" s="9" t="inlineStr">
        <is>
          <t>Month</t>
        </is>
      </c>
      <c r="B5" s="9" t="inlineStr">
        <is>
          <t>Budget</t>
        </is>
      </c>
      <c r="C5" s="9" t="inlineStr">
        <is>
          <t>Actual</t>
        </is>
      </c>
      <c r="D5" s="9" t="inlineStr">
        <is>
          <t>Variance</t>
        </is>
      </c>
      <c r="E5" s="9" t="inlineStr">
        <is>
          <t>Var %</t>
        </is>
      </c>
      <c r="F5" s="9" t="inlineStr">
        <is>
          <t>Trend vs Prior</t>
        </is>
      </c>
    </row>
    <row r="6" ht="20" customHeight="1">
      <c r="A6" s="10" t="inlineStr">
        <is>
          <t>January</t>
        </is>
      </c>
      <c r="B6" s="13" t="n">
        <v>3500</v>
      </c>
      <c r="C6" s="13" t="n">
        <v>2907.49</v>
      </c>
      <c r="D6" s="35">
        <f>C6-B6</f>
        <v/>
      </c>
      <c r="E6" s="36">
        <f>IF(B6&gt;0,(C6-B6)/B6,0)</f>
        <v/>
      </c>
      <c r="F6" s="37" t="inlineStr">
        <is>
          <t>Baseline</t>
        </is>
      </c>
    </row>
    <row r="7" ht="20" customHeight="1">
      <c r="A7" s="32" t="inlineStr">
        <is>
          <t>February</t>
        </is>
      </c>
      <c r="B7" s="26" t="n">
        <v>3200</v>
      </c>
      <c r="C7" s="26" t="n">
        <v>2885.27</v>
      </c>
      <c r="D7" s="35">
        <f>C7-B7</f>
        <v/>
      </c>
      <c r="E7" s="36">
        <f>IF(B7&gt;0,(C7-B7)/B7,0)</f>
        <v/>
      </c>
      <c r="F7" s="14">
        <f>IF(C7&gt;C6,"Higher","Lower")</f>
        <v/>
      </c>
    </row>
    <row r="8" ht="20" customHeight="1">
      <c r="A8" s="10" t="inlineStr">
        <is>
          <t>March</t>
        </is>
      </c>
      <c r="B8" s="13" t="n">
        <v>3300</v>
      </c>
      <c r="C8" s="13" t="n">
        <v>2875.97</v>
      </c>
      <c r="D8" s="35">
        <f>C8-B8</f>
        <v/>
      </c>
      <c r="E8" s="36">
        <f>IF(B8&gt;0,(C8-B8)/B8,0)</f>
        <v/>
      </c>
      <c r="F8" s="14">
        <f>IF(C8&gt;C7,"Higher","Lower")</f>
        <v/>
      </c>
    </row>
    <row r="9" ht="20" customHeight="1">
      <c r="A9" s="32" t="inlineStr">
        <is>
          <t>April</t>
        </is>
      </c>
      <c r="B9" s="26" t="n">
        <v>3500</v>
      </c>
      <c r="C9" s="26" t="n">
        <v>3024.57</v>
      </c>
      <c r="D9" s="35">
        <f>C9-B9</f>
        <v/>
      </c>
      <c r="E9" s="36">
        <f>IF(B9&gt;0,(C9-B9)/B9,0)</f>
        <v/>
      </c>
      <c r="F9" s="14">
        <f>IF(C9&gt;C8,"Higher","Lower")</f>
        <v/>
      </c>
    </row>
    <row r="10" ht="20" customHeight="1">
      <c r="A10" s="10" t="inlineStr">
        <is>
          <t>May</t>
        </is>
      </c>
      <c r="B10" s="13" t="n">
        <v>3500</v>
      </c>
      <c r="C10" s="13" t="n">
        <v>2826.99</v>
      </c>
      <c r="D10" s="35">
        <f>C10-B10</f>
        <v/>
      </c>
      <c r="E10" s="36">
        <f>IF(B10&gt;0,(C10-B10)/B10,0)</f>
        <v/>
      </c>
      <c r="F10" s="14">
        <f>IF(C10&gt;C9,"Higher","Lower")</f>
        <v/>
      </c>
    </row>
    <row r="11" ht="20" customHeight="1">
      <c r="A11" s="32" t="inlineStr">
        <is>
          <t>June</t>
        </is>
      </c>
      <c r="B11" s="26" t="n">
        <v>3600</v>
      </c>
      <c r="C11" s="26" t="n">
        <v>3252.56</v>
      </c>
      <c r="D11" s="35">
        <f>C11-B11</f>
        <v/>
      </c>
      <c r="E11" s="36">
        <f>IF(B11&gt;0,(C11-B11)/B11,0)</f>
        <v/>
      </c>
      <c r="F11" s="14">
        <f>IF(C11&gt;C10,"Higher","Lower")</f>
        <v/>
      </c>
    </row>
    <row r="12" ht="22" customHeight="1">
      <c r="A12" s="9" t="inlineStr">
        <is>
          <t>YTD TOTAL</t>
        </is>
      </c>
      <c r="B12" s="17">
        <f>SUM(B6:B11)</f>
        <v/>
      </c>
      <c r="C12" s="17">
        <f>SUM(C6:C11)</f>
        <v/>
      </c>
      <c r="D12" s="17">
        <f>SUM(D6:D11)</f>
        <v/>
      </c>
      <c r="E12" s="17">
        <f>AVERAGE(E6:E11)</f>
        <v/>
      </c>
      <c r="F12" s="18" t="n"/>
    </row>
    <row r="14" ht="22" customHeight="1">
      <c r="A14" s="3" t="inlineStr">
        <is>
          <t>TREND ANALYSIS — Monthly Spend Pattern</t>
        </is>
      </c>
    </row>
    <row r="15" ht="22" customHeight="1">
      <c r="A15" s="9" t="inlineStr">
        <is>
          <t>Month</t>
        </is>
      </c>
      <c r="B15" s="9" t="inlineStr">
        <is>
          <t>Actual Spend</t>
        </is>
      </c>
      <c r="C15" s="9" t="inlineStr">
        <is>
          <t>MoM Change ($)</t>
        </is>
      </c>
      <c r="D15" s="9" t="inlineStr">
        <is>
          <t>MoM Change (%)</t>
        </is>
      </c>
      <c r="E15" s="9" t="inlineStr">
        <is>
          <t>3-Mo Avg</t>
        </is>
      </c>
      <c r="F15" s="9" t="inlineStr">
        <is>
          <t>Status</t>
        </is>
      </c>
    </row>
    <row r="16" ht="20" customHeight="1">
      <c r="A16" s="10" t="inlineStr">
        <is>
          <t>January</t>
        </is>
      </c>
      <c r="B16" s="13" t="n">
        <v>2907.49</v>
      </c>
      <c r="C16" s="14" t="inlineStr">
        <is>
          <t>—</t>
        </is>
      </c>
      <c r="D16" s="14" t="inlineStr">
        <is>
          <t>—</t>
        </is>
      </c>
      <c r="E16" s="35" t="n">
        <v>2907.49</v>
      </c>
      <c r="F16" s="14" t="inlineStr">
        <is>
          <t>Baseline</t>
        </is>
      </c>
    </row>
    <row r="17" ht="20" customHeight="1">
      <c r="A17" s="32" t="inlineStr">
        <is>
          <t>February</t>
        </is>
      </c>
      <c r="B17" s="26" t="n">
        <v>2885.27</v>
      </c>
      <c r="C17" s="35">
        <f>B17-B16</f>
        <v/>
      </c>
      <c r="D17" s="36">
        <f>IF(B16&lt;&gt;0,(B17-B16)/B16,0)</f>
        <v/>
      </c>
      <c r="E17" s="35">
        <f>AVERAGE(B16:B17)</f>
        <v/>
      </c>
      <c r="F17" s="14">
        <f>IF(B17&gt;AVERAGE($B$16:$B$21),"Above Avg","Below Avg")</f>
        <v/>
      </c>
    </row>
    <row r="18" ht="20" customHeight="1">
      <c r="A18" s="10" t="inlineStr">
        <is>
          <t>March</t>
        </is>
      </c>
      <c r="B18" s="13" t="n">
        <v>2875.97</v>
      </c>
      <c r="C18" s="35">
        <f>B18-B17</f>
        <v/>
      </c>
      <c r="D18" s="36">
        <f>IF(B17&lt;&gt;0,(B18-B17)/B17,0)</f>
        <v/>
      </c>
      <c r="E18" s="35">
        <f>AVERAGE(B16:B18)</f>
        <v/>
      </c>
      <c r="F18" s="14">
        <f>IF(B18&gt;AVERAGE($B$16:$B$21),"Above Avg","Below Avg")</f>
        <v/>
      </c>
    </row>
    <row r="19" ht="20" customHeight="1">
      <c r="A19" s="32" t="inlineStr">
        <is>
          <t>April</t>
        </is>
      </c>
      <c r="B19" s="26" t="n">
        <v>3024.57</v>
      </c>
      <c r="C19" s="35">
        <f>B19-B18</f>
        <v/>
      </c>
      <c r="D19" s="36">
        <f>IF(B18&lt;&gt;0,(B19-B18)/B18,0)</f>
        <v/>
      </c>
      <c r="E19" s="35">
        <f>AVERAGE(B17:B19)</f>
        <v/>
      </c>
      <c r="F19" s="14">
        <f>IF(B19&gt;AVERAGE($B$16:$B$21),"Above Avg","Below Avg")</f>
        <v/>
      </c>
    </row>
    <row r="20" ht="20" customHeight="1">
      <c r="A20" s="10" t="inlineStr">
        <is>
          <t>May</t>
        </is>
      </c>
      <c r="B20" s="13" t="n">
        <v>2826.99</v>
      </c>
      <c r="C20" s="35">
        <f>B20-B19</f>
        <v/>
      </c>
      <c r="D20" s="36">
        <f>IF(B19&lt;&gt;0,(B20-B19)/B19,0)</f>
        <v/>
      </c>
      <c r="E20" s="35">
        <f>AVERAGE(B18:B20)</f>
        <v/>
      </c>
      <c r="F20" s="14">
        <f>IF(B20&gt;AVERAGE($B$16:$B$21),"Above Avg","Below Avg")</f>
        <v/>
      </c>
    </row>
    <row r="21" ht="20" customHeight="1">
      <c r="A21" s="32" t="inlineStr">
        <is>
          <t>June</t>
        </is>
      </c>
      <c r="B21" s="26" t="n">
        <v>3252.56</v>
      </c>
      <c r="C21" s="35">
        <f>B21-B20</f>
        <v/>
      </c>
      <c r="D21" s="36">
        <f>IF(B20&lt;&gt;0,(B21-B20)/B20,0)</f>
        <v/>
      </c>
      <c r="E21" s="35">
        <f>AVERAGE(B19:B21)</f>
        <v/>
      </c>
      <c r="F21" s="14">
        <f>IF(B21&gt;AVERAGE($B$16:$B$21),"Above Avg","Below Avg")</f>
        <v/>
      </c>
    </row>
  </sheetData>
  <mergeCells count="4">
    <mergeCell ref="A2:F2"/>
    <mergeCell ref="A14:F14"/>
    <mergeCell ref="A1:F1"/>
    <mergeCell ref="A4:F4"/>
  </mergeCells>
  <conditionalFormatting sqref="D6:D11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2026-05-12T19:15:25Z</dcterms:created>
  <dcterms:modified xmlns:dcterms="http://purl.org/dc/terms/" xmlns:xsi="http://www.w3.org/2001/XMLSchema-instance" xsi:type="dcterms:W3CDTF">2026-05-12T19:15:26Z</dcterms:modified>
</cp:coreProperties>
</file>