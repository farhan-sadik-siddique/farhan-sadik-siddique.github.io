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Budget Dashboard" sheetId="1" state="visible" r:id="rId1"/>
    <sheet xmlns:r="http://schemas.openxmlformats.org/officeDocument/2006/relationships" name="💰 Budget Data" sheetId="2" state="visible" r:id="rId2"/>
    <sheet xmlns:r="http://schemas.openxmlformats.org/officeDocument/2006/relationships" name="🎯 Budget Targets" sheetId="3" state="visible" r:id="rId3"/>
    <sheet xmlns:r="http://schemas.openxmlformats.org/officeDocument/2006/relationships" name="📈 Variance Analysis" sheetId="4" state="visible" r:id="rId4"/>
    <sheet xmlns:r="http://schemas.openxmlformats.org/officeDocument/2006/relationships" name="📋 Executive Summa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B4D8"/>
      <sz val="16"/>
    </font>
    <font>
      <name val="Arial"/>
      <charset val="1"/>
      <family val="0"/>
      <color rgb="FF8899AA"/>
      <sz val="9"/>
    </font>
    <font>
      <name val="Arial"/>
      <charset val="1"/>
      <family val="0"/>
      <b val="1"/>
      <color rgb="FF8899AA"/>
      <sz val="9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2332"/>
      <sz val="10"/>
    </font>
    <font>
      <name val="Arial"/>
      <charset val="1"/>
      <family val="0"/>
      <color rgb="FF1A2332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2DC653"/>
      <sz val="10"/>
    </font>
    <font>
      <name val="Arial"/>
      <charset val="1"/>
      <family val="0"/>
      <b val="1"/>
      <color rgb="FFE63946"/>
      <sz val="10"/>
    </font>
    <font>
      <name val="Arial"/>
      <charset val="1"/>
      <family val="0"/>
      <b val="1"/>
      <color rgb="FF00B4D8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77B6"/>
      <sz val="10"/>
    </font>
    <font>
      <name val="Arial"/>
      <charset val="1"/>
      <family val="0"/>
      <i val="1"/>
      <color rgb="FF8899AA"/>
      <sz val="9"/>
    </font>
    <font>
      <name val="Arial"/>
      <charset val="1"/>
      <family val="0"/>
      <i val="1"/>
      <color rgb="FF00B4D8"/>
      <sz val="9"/>
    </font>
    <font>
      <name val="Arial"/>
      <i val="1"/>
      <color rgb="0064748B"/>
      <sz val="9"/>
    </font>
  </fonts>
  <fills count="12">
    <fill>
      <patternFill/>
    </fill>
    <fill>
      <patternFill patternType="gray125"/>
    </fill>
    <fill>
      <patternFill patternType="solid">
        <fgColor rgb="FF1A2332"/>
        <bgColor rgb="FF243447"/>
      </patternFill>
    </fill>
    <fill>
      <patternFill patternType="solid">
        <fgColor rgb="FF243447"/>
        <bgColor rgb="FF1A2332"/>
      </patternFill>
    </fill>
    <fill>
      <patternFill patternType="solid">
        <fgColor rgb="FF0077B6"/>
        <bgColor rgb="FF008080"/>
      </patternFill>
    </fill>
    <fill>
      <patternFill patternType="solid">
        <fgColor rgb="FFEEF2F7"/>
        <bgColor rgb="FFFFFFFF"/>
      </patternFill>
    </fill>
    <fill>
      <patternFill patternType="solid">
        <fgColor rgb="FFFFFFFF"/>
        <bgColor rgb="FFEEF2F7"/>
      </patternFill>
    </fill>
    <fill>
      <patternFill patternType="solid">
        <fgColor rgb="FF2C5F8A"/>
        <bgColor rgb="FF0077B6"/>
      </patternFill>
    </fill>
    <fill>
      <patternFill patternType="solid">
        <fgColor rgb="FF2DC653"/>
        <bgColor rgb="FF33CCCC"/>
      </patternFill>
    </fill>
    <fill>
      <patternFill patternType="solid">
        <fgColor rgb="FFE63946"/>
        <bgColor rgb="FF993366"/>
      </patternFill>
    </fill>
    <fill>
      <patternFill patternType="solid">
        <fgColor rgb="FFFFB703"/>
        <bgColor rgb="FFFF9900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FFCCDDEE"/>
      </left>
      <right style="thin">
        <color rgb="FFCCDDEE"/>
      </right>
      <top style="thin">
        <color rgb="FFCCDDEE"/>
      </top>
      <bottom style="thin">
        <color rgb="FFCCDD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49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49" fontId="11" fillId="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4" fontId="14" fillId="5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164" fontId="12" fillId="8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164" fontId="12" fillId="9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left" vertical="center"/>
    </xf>
    <xf numFmtId="164" fontId="16" fillId="2" borderId="1" applyAlignment="1" pivotButton="0" quotePrefix="0" xfId="0">
      <alignment horizontal="center" vertical="center"/>
    </xf>
    <xf numFmtId="165" fontId="16" fillId="2" borderId="1" applyAlignment="1" pivotButton="0" quotePrefix="0" xfId="0">
      <alignment horizontal="center" vertical="center"/>
    </xf>
    <xf numFmtId="49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164" fontId="17" fillId="2" borderId="1" applyAlignment="1" pivotButton="0" quotePrefix="0" xfId="0">
      <alignment horizontal="center" vertical="center"/>
    </xf>
    <xf numFmtId="165" fontId="17" fillId="2" borderId="1" applyAlignment="1" pivotButton="0" quotePrefix="0" xfId="0">
      <alignment horizontal="center" vertical="center"/>
    </xf>
    <xf numFmtId="49" fontId="17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164" fontId="18" fillId="2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center" vertical="center"/>
    </xf>
    <xf numFmtId="49" fontId="18" fillId="2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164" fontId="20" fillId="5" borderId="1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/>
    </xf>
    <xf numFmtId="164" fontId="20" fillId="6" borderId="1" applyAlignment="1" pivotButton="0" quotePrefix="0" xfId="0">
      <alignment horizontal="center" vertical="center"/>
    </xf>
    <xf numFmtId="0" fontId="21" fillId="6" borderId="0" applyAlignment="1" pivotButton="0" quotePrefix="0" xfId="0">
      <alignment horizontal="left" vertical="center"/>
    </xf>
    <xf numFmtId="165" fontId="20" fillId="5" borderId="1" applyAlignment="1" pivotButton="0" quotePrefix="0" xfId="0">
      <alignment horizontal="center" vertical="center"/>
    </xf>
    <xf numFmtId="49" fontId="20" fillId="6" borderId="1" applyAlignment="1" pivotButton="0" quotePrefix="0" xfId="0">
      <alignment horizontal="center" vertical="center"/>
    </xf>
    <xf numFmtId="49" fontId="20" fillId="5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3" fillId="11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11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49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49" fontId="11" fillId="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164" fontId="14" fillId="5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164" fontId="14" fillId="6" borderId="1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164" fontId="12" fillId="8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164" fontId="12" fillId="9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left" vertical="center"/>
    </xf>
    <xf numFmtId="164" fontId="16" fillId="2" borderId="1" applyAlignment="1" pivotButton="0" quotePrefix="0" xfId="0">
      <alignment horizontal="center" vertical="center"/>
    </xf>
    <xf numFmtId="165" fontId="16" fillId="2" borderId="1" applyAlignment="1" pivotButton="0" quotePrefix="0" xfId="0">
      <alignment horizontal="center" vertical="center"/>
    </xf>
    <xf numFmtId="49" fontId="16" fillId="2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164" fontId="17" fillId="2" borderId="1" applyAlignment="1" pivotButton="0" quotePrefix="0" xfId="0">
      <alignment horizontal="center" vertical="center"/>
    </xf>
    <xf numFmtId="165" fontId="17" fillId="2" borderId="1" applyAlignment="1" pivotButton="0" quotePrefix="0" xfId="0">
      <alignment horizontal="center" vertical="center"/>
    </xf>
    <xf numFmtId="49" fontId="17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164" fontId="18" fillId="2" borderId="1" applyAlignment="1" pivotButton="0" quotePrefix="0" xfId="0">
      <alignment horizontal="center" vertical="center"/>
    </xf>
    <xf numFmtId="165" fontId="18" fillId="2" borderId="1" applyAlignment="1" pivotButton="0" quotePrefix="0" xfId="0">
      <alignment horizontal="center" vertical="center"/>
    </xf>
    <xf numFmtId="49" fontId="18" fillId="2" borderId="1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164" fontId="20" fillId="5" borderId="1" applyAlignment="1" pivotButton="0" quotePrefix="0" xfId="0">
      <alignment horizontal="center" vertical="center"/>
    </xf>
    <xf numFmtId="0" fontId="21" fillId="5" borderId="0" applyAlignment="1" pivotButton="0" quotePrefix="0" xfId="0">
      <alignment horizontal="left" vertical="center"/>
    </xf>
    <xf numFmtId="164" fontId="20" fillId="6" borderId="1" applyAlignment="1" pivotButton="0" quotePrefix="0" xfId="0">
      <alignment horizontal="center" vertical="center"/>
    </xf>
    <xf numFmtId="0" fontId="21" fillId="6" borderId="0" applyAlignment="1" pivotButton="0" quotePrefix="0" xfId="0">
      <alignment horizontal="left" vertical="center"/>
    </xf>
    <xf numFmtId="165" fontId="20" fillId="5" borderId="1" applyAlignment="1" pivotButton="0" quotePrefix="0" xfId="0">
      <alignment horizontal="center" vertical="center"/>
    </xf>
    <xf numFmtId="49" fontId="20" fillId="6" borderId="1" applyAlignment="1" pivotButton="0" quotePrefix="0" xfId="0">
      <alignment horizontal="center" vertical="center"/>
    </xf>
    <xf numFmtId="49" fontId="20" fillId="5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63946"/>
      <rgbColor rgb="FFEEF2F7"/>
      <rgbColor rgb="FFCCFFFF"/>
      <rgbColor rgb="FF660066"/>
      <rgbColor rgb="FFFF8080"/>
      <rgbColor rgb="FF0077B6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703"/>
      <rgbColor rgb="FFFF9900"/>
      <rgbColor rgb="FFFF6600"/>
      <rgbColor rgb="FF2C5F8A"/>
      <rgbColor rgb="FF8899AA"/>
      <rgbColor rgb="FF003366"/>
      <rgbColor rgb="FF2DC653"/>
      <rgbColor rgb="FF003300"/>
      <rgbColor rgb="FF1A2332"/>
      <rgbColor rgb="FF993300"/>
      <rgbColor rgb="FF993366"/>
      <rgbColor rgb="FF333399"/>
      <rgbColor rgb="FF24344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B4D8"/>
    <outlinePr summaryBelow="1" summaryRight="1"/>
    <pageSetUpPr fitToPage="0"/>
  </sheetPr>
  <dimension ref="A1:N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65" min="1" max="1"/>
    <col width="10" customWidth="1" style="65" min="2" max="4"/>
    <col width="3" customWidth="1" style="65" min="5" max="5"/>
    <col width="10" customWidth="1" style="65" min="6" max="8"/>
    <col width="3" customWidth="1" style="65" min="9" max="9"/>
    <col width="10" customWidth="1" style="65" min="10" max="12"/>
    <col width="3" customWidth="1" style="65" min="13" max="13"/>
  </cols>
  <sheetData>
    <row r="1" ht="30" customHeight="1" s="66">
      <c r="A1" s="67" t="inlineStr">
        <is>
          <t>💰  MONTHLY BUDGET DASHBOARD  |  2026</t>
        </is>
      </c>
    </row>
    <row r="2" ht="18" customHeight="1" s="66">
      <c r="A2" s="68" t="inlineStr">
        <is>
          <t>Small Business Finance  |  Revenue • Expenses • Profit • Budget vs Actual  |  Auto-updates from Budget Data &amp; Budget Targets sheets</t>
        </is>
      </c>
    </row>
    <row r="3" ht="16" customHeight="1" s="66">
      <c r="A3" s="69" t="inlineStr">
        <is>
          <t>Prepared by Farhan Siddique  |  Digital Marketer &amp; Data Analyst  |  HubSpot, Google &amp; Microsoft Certified</t>
        </is>
      </c>
    </row>
    <row r="4" ht="15.75" customHeight="1" s="66">
      <c r="B4" s="70" t="inlineStr">
        <is>
          <t>TOTAL ANNUAL REVENUE</t>
        </is>
      </c>
      <c r="F4" s="70" t="inlineStr">
        <is>
          <t>TOTAL ANNUAL EXPENSES</t>
        </is>
      </c>
      <c r="J4" s="70" t="inlineStr">
        <is>
          <t>NET PROFIT / LOSS</t>
        </is>
      </c>
    </row>
    <row r="5" ht="30" customHeight="1" s="66">
      <c r="B5" s="71">
        <f>'💰 Budget Data'!O17</f>
        <v/>
      </c>
      <c r="F5" s="71">
        <f>'💰 Budget Data'!O18</f>
        <v/>
      </c>
      <c r="J5" s="71">
        <f>'💰 Budget Data'!O19</f>
        <v/>
      </c>
    </row>
    <row r="6" ht="18" customHeight="1" s="66"/>
    <row r="7" ht="6" customHeight="1" s="66"/>
    <row r="8" ht="19.5" customHeight="1" s="66">
      <c r="A8" s="72" t="inlineStr">
        <is>
          <t>MONTHLY REVENUE vs EXPENSES vs NET PROFIT</t>
        </is>
      </c>
    </row>
    <row r="9" ht="19.5" customHeight="1" s="66">
      <c r="A9" s="73" t="n"/>
      <c r="B9" s="73" t="inlineStr">
        <is>
          <t>Month</t>
        </is>
      </c>
      <c r="C9" s="73" t="inlineStr">
        <is>
          <t>Budgeted Rev</t>
        </is>
      </c>
      <c r="D9" s="73" t="inlineStr">
        <is>
          <t>Actual Rev</t>
        </is>
      </c>
      <c r="E9" s="73" t="inlineStr">
        <is>
          <t>Rev Variance</t>
        </is>
      </c>
      <c r="F9" s="73" t="inlineStr">
        <is>
          <t>Rev %</t>
        </is>
      </c>
      <c r="G9" s="73" t="inlineStr">
        <is>
          <t>Actual Exp</t>
        </is>
      </c>
      <c r="H9" s="73" t="inlineStr">
        <is>
          <t>Budget Exp</t>
        </is>
      </c>
      <c r="I9" s="73" t="inlineStr">
        <is>
          <t>Exp Variance</t>
        </is>
      </c>
      <c r="J9" s="73" t="inlineStr">
        <is>
          <t>Exp %</t>
        </is>
      </c>
      <c r="K9" s="73" t="inlineStr">
        <is>
          <t>Net Profit</t>
        </is>
      </c>
      <c r="L9" s="73" t="inlineStr">
        <is>
          <t>Prev Month</t>
        </is>
      </c>
      <c r="M9" s="73" t="inlineStr">
        <is>
          <t>MoM Change</t>
        </is>
      </c>
      <c r="N9" s="73" t="n"/>
    </row>
    <row r="10" ht="18.75" customHeight="1" s="66">
      <c r="A10" s="74" t="n"/>
      <c r="B10" s="75" t="inlineStr">
        <is>
          <t>Jan</t>
        </is>
      </c>
      <c r="C10" s="76">
        <f>'🎯 Budget Targets'!C4+'🎯 Budget Targets'!C5+'🎯 Budget Targets'!C6</f>
        <v/>
      </c>
      <c r="D10" s="76">
        <f>'💰 Budget Data'!C17</f>
        <v/>
      </c>
      <c r="E10" s="76">
        <f>D10-C10</f>
        <v/>
      </c>
      <c r="F10" s="77">
        <f>IFERROR((D10-C10)/C10,0)</f>
        <v/>
      </c>
      <c r="G10" s="76">
        <f>'💰 Budget Data'!C18</f>
        <v/>
      </c>
      <c r="H10" s="76">
        <f>'🎯 Budget Targets'!C8+'🎯 Budget Targets'!C9+'🎯 Budget Targets'!C10+'🎯 Budget Targets'!C11+'🎯 Budget Targets'!C12+'🎯 Budget Targets'!C13+'🎯 Budget Targets'!C14+'🎯 Budget Targets'!C15+'🎯 Budget Targets'!C16</f>
        <v/>
      </c>
      <c r="I10" s="76">
        <f>H10-G10</f>
        <v/>
      </c>
      <c r="J10" s="77">
        <f>IFERROR((H10-G10)/H10,0)</f>
        <v/>
      </c>
      <c r="K10" s="76">
        <f>'💰 Budget Data'!C19</f>
        <v/>
      </c>
      <c r="L10" s="76" t="n">
        <v>0</v>
      </c>
      <c r="M10" s="77">
        <f>IFERROR((K10-L10)/ABS(L10),0)</f>
        <v/>
      </c>
    </row>
    <row r="11" ht="18.75" customHeight="1" s="66">
      <c r="A11" s="74" t="n"/>
      <c r="B11" s="78" t="inlineStr">
        <is>
          <t>Feb</t>
        </is>
      </c>
      <c r="C11" s="79">
        <f>'🎯 Budget Targets'!D4+'🎯 Budget Targets'!D5+'🎯 Budget Targets'!D6</f>
        <v/>
      </c>
      <c r="D11" s="79">
        <f>'💰 Budget Data'!D17</f>
        <v/>
      </c>
      <c r="E11" s="79">
        <f>D11-C11</f>
        <v/>
      </c>
      <c r="F11" s="80">
        <f>IFERROR((D11-C11)/C11,0)</f>
        <v/>
      </c>
      <c r="G11" s="79">
        <f>'💰 Budget Data'!D18</f>
        <v/>
      </c>
      <c r="H11" s="79">
        <f>'🎯 Budget Targets'!D8+'🎯 Budget Targets'!D9+'🎯 Budget Targets'!D10+'🎯 Budget Targets'!D11+'🎯 Budget Targets'!D12+'🎯 Budget Targets'!D13+'🎯 Budget Targets'!D14+'🎯 Budget Targets'!D15+'🎯 Budget Targets'!D16</f>
        <v/>
      </c>
      <c r="I11" s="79">
        <f>H11-G11</f>
        <v/>
      </c>
      <c r="J11" s="80">
        <f>IFERROR((H11-G11)/H11,0)</f>
        <v/>
      </c>
      <c r="K11" s="79">
        <f>'💰 Budget Data'!D19</f>
        <v/>
      </c>
      <c r="L11" s="79">
        <f>K10</f>
        <v/>
      </c>
      <c r="M11" s="80">
        <f>IFERROR((K11-L11)/ABS(L11),0)</f>
        <v/>
      </c>
    </row>
    <row r="12" ht="18.75" customHeight="1" s="66">
      <c r="A12" s="74" t="n"/>
      <c r="B12" s="75" t="inlineStr">
        <is>
          <t>Mar</t>
        </is>
      </c>
      <c r="C12" s="76">
        <f>'🎯 Budget Targets'!E4+'🎯 Budget Targets'!E5+'🎯 Budget Targets'!E6</f>
        <v/>
      </c>
      <c r="D12" s="76">
        <f>'💰 Budget Data'!E17</f>
        <v/>
      </c>
      <c r="E12" s="76">
        <f>D12-C12</f>
        <v/>
      </c>
      <c r="F12" s="77">
        <f>IFERROR((D12-C12)/C12,0)</f>
        <v/>
      </c>
      <c r="G12" s="76">
        <f>'💰 Budget Data'!E18</f>
        <v/>
      </c>
      <c r="H12" s="76">
        <f>'🎯 Budget Targets'!E8+'🎯 Budget Targets'!E9+'🎯 Budget Targets'!E10+'🎯 Budget Targets'!E11+'🎯 Budget Targets'!E12+'🎯 Budget Targets'!E13+'🎯 Budget Targets'!E14+'🎯 Budget Targets'!E15+'🎯 Budget Targets'!E16</f>
        <v/>
      </c>
      <c r="I12" s="76">
        <f>H12-G12</f>
        <v/>
      </c>
      <c r="J12" s="77">
        <f>IFERROR((H12-G12)/H12,0)</f>
        <v/>
      </c>
      <c r="K12" s="76">
        <f>'💰 Budget Data'!E19</f>
        <v/>
      </c>
      <c r="L12" s="76">
        <f>K11</f>
        <v/>
      </c>
      <c r="M12" s="77">
        <f>IFERROR((K12-L12)/ABS(L12),0)</f>
        <v/>
      </c>
    </row>
    <row r="13" ht="18.75" customHeight="1" s="66">
      <c r="A13" s="74" t="n"/>
      <c r="B13" s="78" t="inlineStr">
        <is>
          <t>Apr</t>
        </is>
      </c>
      <c r="C13" s="79">
        <f>'🎯 Budget Targets'!F4+'🎯 Budget Targets'!F5+'🎯 Budget Targets'!F6</f>
        <v/>
      </c>
      <c r="D13" s="79">
        <f>'💰 Budget Data'!F17</f>
        <v/>
      </c>
      <c r="E13" s="79">
        <f>D13-C13</f>
        <v/>
      </c>
      <c r="F13" s="80">
        <f>IFERROR((D13-C13)/C13,0)</f>
        <v/>
      </c>
      <c r="G13" s="79">
        <f>'💰 Budget Data'!F18</f>
        <v/>
      </c>
      <c r="H13" s="79">
        <f>'🎯 Budget Targets'!F8+'🎯 Budget Targets'!F9+'🎯 Budget Targets'!F10+'🎯 Budget Targets'!F11+'🎯 Budget Targets'!F12+'🎯 Budget Targets'!F13+'🎯 Budget Targets'!F14+'🎯 Budget Targets'!F15+'🎯 Budget Targets'!F16</f>
        <v/>
      </c>
      <c r="I13" s="79">
        <f>H13-G13</f>
        <v/>
      </c>
      <c r="J13" s="80">
        <f>IFERROR((H13-G13)/H13,0)</f>
        <v/>
      </c>
      <c r="K13" s="79">
        <f>'💰 Budget Data'!F19</f>
        <v/>
      </c>
      <c r="L13" s="79">
        <f>K12</f>
        <v/>
      </c>
      <c r="M13" s="80">
        <f>IFERROR((K13-L13)/ABS(L13),0)</f>
        <v/>
      </c>
    </row>
    <row r="14" ht="18.75" customHeight="1" s="66">
      <c r="A14" s="74" t="n"/>
      <c r="B14" s="75" t="inlineStr">
        <is>
          <t>May</t>
        </is>
      </c>
      <c r="C14" s="76">
        <f>'🎯 Budget Targets'!G4+'🎯 Budget Targets'!G5+'🎯 Budget Targets'!G6</f>
        <v/>
      </c>
      <c r="D14" s="76">
        <f>'💰 Budget Data'!G17</f>
        <v/>
      </c>
      <c r="E14" s="76">
        <f>D14-C14</f>
        <v/>
      </c>
      <c r="F14" s="77">
        <f>IFERROR((D14-C14)/C14,0)</f>
        <v/>
      </c>
      <c r="G14" s="76">
        <f>'💰 Budget Data'!G18</f>
        <v/>
      </c>
      <c r="H14" s="76">
        <f>'🎯 Budget Targets'!G8+'🎯 Budget Targets'!G9+'🎯 Budget Targets'!G10+'🎯 Budget Targets'!G11+'🎯 Budget Targets'!G12+'🎯 Budget Targets'!G13+'🎯 Budget Targets'!G14+'🎯 Budget Targets'!G15+'🎯 Budget Targets'!G16</f>
        <v/>
      </c>
      <c r="I14" s="76">
        <f>H14-G14</f>
        <v/>
      </c>
      <c r="J14" s="77">
        <f>IFERROR((H14-G14)/H14,0)</f>
        <v/>
      </c>
      <c r="K14" s="76">
        <f>'💰 Budget Data'!G19</f>
        <v/>
      </c>
      <c r="L14" s="76">
        <f>K13</f>
        <v/>
      </c>
      <c r="M14" s="77">
        <f>IFERROR((K14-L14)/ABS(L14),0)</f>
        <v/>
      </c>
    </row>
    <row r="15" ht="18.75" customHeight="1" s="66">
      <c r="A15" s="74" t="n"/>
      <c r="B15" s="78" t="inlineStr">
        <is>
          <t>Jun</t>
        </is>
      </c>
      <c r="C15" s="79">
        <f>'🎯 Budget Targets'!H4+'🎯 Budget Targets'!H5+'🎯 Budget Targets'!H6</f>
        <v/>
      </c>
      <c r="D15" s="79">
        <f>'💰 Budget Data'!H17</f>
        <v/>
      </c>
      <c r="E15" s="79">
        <f>D15-C15</f>
        <v/>
      </c>
      <c r="F15" s="80">
        <f>IFERROR((D15-C15)/C15,0)</f>
        <v/>
      </c>
      <c r="G15" s="79">
        <f>'💰 Budget Data'!H18</f>
        <v/>
      </c>
      <c r="H15" s="79">
        <f>'🎯 Budget Targets'!H8+'🎯 Budget Targets'!H9+'🎯 Budget Targets'!H10+'🎯 Budget Targets'!H11+'🎯 Budget Targets'!H12+'🎯 Budget Targets'!H13+'🎯 Budget Targets'!H14+'🎯 Budget Targets'!H15+'🎯 Budget Targets'!H16</f>
        <v/>
      </c>
      <c r="I15" s="79">
        <f>H15-G15</f>
        <v/>
      </c>
      <c r="J15" s="80">
        <f>IFERROR((H15-G15)/H15,0)</f>
        <v/>
      </c>
      <c r="K15" s="79">
        <f>'💰 Budget Data'!H19</f>
        <v/>
      </c>
      <c r="L15" s="79">
        <f>K14</f>
        <v/>
      </c>
      <c r="M15" s="80">
        <f>IFERROR((K15-L15)/ABS(L15),0)</f>
        <v/>
      </c>
    </row>
    <row r="16" ht="18.75" customHeight="1" s="66">
      <c r="A16" s="74" t="n"/>
      <c r="B16" s="75" t="inlineStr">
        <is>
          <t>Jul</t>
        </is>
      </c>
      <c r="C16" s="76">
        <f>'🎯 Budget Targets'!I4+'🎯 Budget Targets'!I5+'🎯 Budget Targets'!I6</f>
        <v/>
      </c>
      <c r="D16" s="76">
        <f>'💰 Budget Data'!I17</f>
        <v/>
      </c>
      <c r="E16" s="76">
        <f>D16-C16</f>
        <v/>
      </c>
      <c r="F16" s="77">
        <f>IFERROR((D16-C16)/C16,0)</f>
        <v/>
      </c>
      <c r="G16" s="76">
        <f>'💰 Budget Data'!I18</f>
        <v/>
      </c>
      <c r="H16" s="76">
        <f>'🎯 Budget Targets'!I8+'🎯 Budget Targets'!I9+'🎯 Budget Targets'!I10+'🎯 Budget Targets'!I11+'🎯 Budget Targets'!I12+'🎯 Budget Targets'!I13+'🎯 Budget Targets'!I14+'🎯 Budget Targets'!I15+'🎯 Budget Targets'!I16</f>
        <v/>
      </c>
      <c r="I16" s="76">
        <f>H16-G16</f>
        <v/>
      </c>
      <c r="J16" s="77">
        <f>IFERROR((H16-G16)/H16,0)</f>
        <v/>
      </c>
      <c r="K16" s="76">
        <f>'💰 Budget Data'!I19</f>
        <v/>
      </c>
      <c r="L16" s="76">
        <f>K15</f>
        <v/>
      </c>
      <c r="M16" s="77">
        <f>IFERROR((K16-L16)/ABS(L16),0)</f>
        <v/>
      </c>
    </row>
    <row r="17" ht="18.75" customHeight="1" s="66">
      <c r="A17" s="74" t="n"/>
      <c r="B17" s="78" t="inlineStr">
        <is>
          <t>Aug</t>
        </is>
      </c>
      <c r="C17" s="79">
        <f>'🎯 Budget Targets'!J4+'🎯 Budget Targets'!J5+'🎯 Budget Targets'!J6</f>
        <v/>
      </c>
      <c r="D17" s="79">
        <f>'💰 Budget Data'!J17</f>
        <v/>
      </c>
      <c r="E17" s="79">
        <f>D17-C17</f>
        <v/>
      </c>
      <c r="F17" s="80">
        <f>IFERROR((D17-C17)/C17,0)</f>
        <v/>
      </c>
      <c r="G17" s="79">
        <f>'💰 Budget Data'!J18</f>
        <v/>
      </c>
      <c r="H17" s="79">
        <f>'🎯 Budget Targets'!J8+'🎯 Budget Targets'!J9+'🎯 Budget Targets'!J10+'🎯 Budget Targets'!J11+'🎯 Budget Targets'!J12+'🎯 Budget Targets'!J13+'🎯 Budget Targets'!J14+'🎯 Budget Targets'!J15+'🎯 Budget Targets'!J16</f>
        <v/>
      </c>
      <c r="I17" s="79">
        <f>H17-G17</f>
        <v/>
      </c>
      <c r="J17" s="80">
        <f>IFERROR((H17-G17)/H17,0)</f>
        <v/>
      </c>
      <c r="K17" s="79">
        <f>'💰 Budget Data'!J19</f>
        <v/>
      </c>
      <c r="L17" s="79">
        <f>K16</f>
        <v/>
      </c>
      <c r="M17" s="80">
        <f>IFERROR((K17-L17)/ABS(L17),0)</f>
        <v/>
      </c>
    </row>
    <row r="18" ht="18.75" customHeight="1" s="66">
      <c r="A18" s="74" t="n"/>
      <c r="B18" s="75" t="inlineStr">
        <is>
          <t>Sep</t>
        </is>
      </c>
      <c r="C18" s="76">
        <f>'🎯 Budget Targets'!K4+'🎯 Budget Targets'!K5+'🎯 Budget Targets'!K6</f>
        <v/>
      </c>
      <c r="D18" s="76">
        <f>'💰 Budget Data'!K17</f>
        <v/>
      </c>
      <c r="E18" s="76">
        <f>D18-C18</f>
        <v/>
      </c>
      <c r="F18" s="77">
        <f>IFERROR((D18-C18)/C18,0)</f>
        <v/>
      </c>
      <c r="G18" s="76">
        <f>'💰 Budget Data'!K18</f>
        <v/>
      </c>
      <c r="H18" s="76">
        <f>'🎯 Budget Targets'!K8+'🎯 Budget Targets'!K9+'🎯 Budget Targets'!K10+'🎯 Budget Targets'!K11+'🎯 Budget Targets'!K12+'🎯 Budget Targets'!K13+'🎯 Budget Targets'!K14+'🎯 Budget Targets'!K15+'🎯 Budget Targets'!K16</f>
        <v/>
      </c>
      <c r="I18" s="76">
        <f>H18-G18</f>
        <v/>
      </c>
      <c r="J18" s="77">
        <f>IFERROR((H18-G18)/H18,0)</f>
        <v/>
      </c>
      <c r="K18" s="76">
        <f>'💰 Budget Data'!K19</f>
        <v/>
      </c>
      <c r="L18" s="76">
        <f>K17</f>
        <v/>
      </c>
      <c r="M18" s="77">
        <f>IFERROR((K18-L18)/ABS(L18),0)</f>
        <v/>
      </c>
    </row>
    <row r="19" ht="18.75" customHeight="1" s="66">
      <c r="A19" s="74" t="n"/>
      <c r="B19" s="78" t="inlineStr">
        <is>
          <t>Oct</t>
        </is>
      </c>
      <c r="C19" s="79">
        <f>'🎯 Budget Targets'!L4+'🎯 Budget Targets'!L5+'🎯 Budget Targets'!L6</f>
        <v/>
      </c>
      <c r="D19" s="79">
        <f>'💰 Budget Data'!L17</f>
        <v/>
      </c>
      <c r="E19" s="79">
        <f>D19-C19</f>
        <v/>
      </c>
      <c r="F19" s="80">
        <f>IFERROR((D19-C19)/C19,0)</f>
        <v/>
      </c>
      <c r="G19" s="79">
        <f>'💰 Budget Data'!L18</f>
        <v/>
      </c>
      <c r="H19" s="79">
        <f>'🎯 Budget Targets'!L8+'🎯 Budget Targets'!L9+'🎯 Budget Targets'!L10+'🎯 Budget Targets'!L11+'🎯 Budget Targets'!L12+'🎯 Budget Targets'!L13+'🎯 Budget Targets'!L14+'🎯 Budget Targets'!L15+'🎯 Budget Targets'!L16</f>
        <v/>
      </c>
      <c r="I19" s="79">
        <f>H19-G19</f>
        <v/>
      </c>
      <c r="J19" s="80">
        <f>IFERROR((H19-G19)/H19,0)</f>
        <v/>
      </c>
      <c r="K19" s="79">
        <f>'💰 Budget Data'!L19</f>
        <v/>
      </c>
      <c r="L19" s="79">
        <f>K18</f>
        <v/>
      </c>
      <c r="M19" s="80">
        <f>IFERROR((K19-L19)/ABS(L19),0)</f>
        <v/>
      </c>
    </row>
    <row r="20" ht="18.75" customHeight="1" s="66">
      <c r="A20" s="74" t="n"/>
      <c r="B20" s="75" t="inlineStr">
        <is>
          <t>Nov</t>
        </is>
      </c>
      <c r="C20" s="76">
        <f>'🎯 Budget Targets'!M4+'🎯 Budget Targets'!M5+'🎯 Budget Targets'!M6</f>
        <v/>
      </c>
      <c r="D20" s="76">
        <f>'💰 Budget Data'!M17</f>
        <v/>
      </c>
      <c r="E20" s="76">
        <f>D20-C20</f>
        <v/>
      </c>
      <c r="F20" s="77">
        <f>IFERROR((D20-C20)/C20,0)</f>
        <v/>
      </c>
      <c r="G20" s="76">
        <f>'💰 Budget Data'!M18</f>
        <v/>
      </c>
      <c r="H20" s="76">
        <f>'🎯 Budget Targets'!M8+'🎯 Budget Targets'!M9+'🎯 Budget Targets'!M10+'🎯 Budget Targets'!M11+'🎯 Budget Targets'!M12+'🎯 Budget Targets'!M13+'🎯 Budget Targets'!M14+'🎯 Budget Targets'!M15+'🎯 Budget Targets'!M16</f>
        <v/>
      </c>
      <c r="I20" s="76">
        <f>H20-G20</f>
        <v/>
      </c>
      <c r="J20" s="77">
        <f>IFERROR((H20-G20)/H20,0)</f>
        <v/>
      </c>
      <c r="K20" s="76">
        <f>'💰 Budget Data'!M19</f>
        <v/>
      </c>
      <c r="L20" s="76">
        <f>K19</f>
        <v/>
      </c>
      <c r="M20" s="77">
        <f>IFERROR((K20-L20)/ABS(L20),0)</f>
        <v/>
      </c>
    </row>
    <row r="21" ht="18.75" customHeight="1" s="66">
      <c r="A21" s="74" t="n"/>
      <c r="B21" s="78" t="inlineStr">
        <is>
          <t>Dec</t>
        </is>
      </c>
      <c r="C21" s="79">
        <f>'🎯 Budget Targets'!N4+'🎯 Budget Targets'!N5+'🎯 Budget Targets'!N6</f>
        <v/>
      </c>
      <c r="D21" s="79">
        <f>'💰 Budget Data'!N17</f>
        <v/>
      </c>
      <c r="E21" s="79">
        <f>D21-C21</f>
        <v/>
      </c>
      <c r="F21" s="80">
        <f>IFERROR((D21-C21)/C21,0)</f>
        <v/>
      </c>
      <c r="G21" s="79">
        <f>'💰 Budget Data'!N18</f>
        <v/>
      </c>
      <c r="H21" s="79">
        <f>'🎯 Budget Targets'!N8+'🎯 Budget Targets'!N9+'🎯 Budget Targets'!N10+'🎯 Budget Targets'!N11+'🎯 Budget Targets'!N12+'🎯 Budget Targets'!N13+'🎯 Budget Targets'!N14+'🎯 Budget Targets'!N15+'🎯 Budget Targets'!N16</f>
        <v/>
      </c>
      <c r="I21" s="79">
        <f>H21-G21</f>
        <v/>
      </c>
      <c r="J21" s="80">
        <f>IFERROR((H21-G21)/H21,0)</f>
        <v/>
      </c>
      <c r="K21" s="79">
        <f>'💰 Budget Data'!N19</f>
        <v/>
      </c>
      <c r="L21" s="79">
        <f>K20</f>
        <v/>
      </c>
      <c r="M21" s="80">
        <f>IFERROR((K21-L21)/ABS(L21),0)</f>
        <v/>
      </c>
    </row>
    <row r="22" ht="21.75" customHeight="1" s="66">
      <c r="A22" s="74" t="n"/>
      <c r="B22" s="81" t="inlineStr">
        <is>
          <t>ANNUAL TOTAL</t>
        </is>
      </c>
      <c r="C22" s="82">
        <f>SUM(C10:C21)</f>
        <v/>
      </c>
      <c r="D22" s="82">
        <f>SUM(D10:D21)</f>
        <v/>
      </c>
      <c r="E22" s="82">
        <f>SUM(E10:E21)</f>
        <v/>
      </c>
      <c r="F22" s="83">
        <f>IFERROR(E22/C22,0)</f>
        <v/>
      </c>
      <c r="G22" s="82">
        <f>SUM(G10:G21)</f>
        <v/>
      </c>
      <c r="H22" s="82">
        <f>SUM(H10:H21)</f>
        <v/>
      </c>
      <c r="I22" s="82">
        <f>SUM(I10:I21)</f>
        <v/>
      </c>
      <c r="J22" s="83">
        <f>IFERROR(I22/H22,0)</f>
        <v/>
      </c>
      <c r="K22" s="82">
        <f>SUM(K10:K21)</f>
        <v/>
      </c>
      <c r="L22" s="74" t="n"/>
      <c r="M22" s="83" t="n"/>
    </row>
    <row r="23" ht="6" customHeight="1" s="66"/>
    <row r="24" ht="19.5" customHeight="1" s="66">
      <c r="A24" s="72" t="inlineStr">
        <is>
          <t>ANNUAL EXPENSE BREAKDOWN  |  Category Analysis</t>
        </is>
      </c>
    </row>
    <row r="25" ht="19.5" customHeight="1" s="66">
      <c r="A25" s="73" t="n"/>
      <c r="B25" s="73" t="inlineStr">
        <is>
          <t>Category</t>
        </is>
      </c>
      <c r="C25" s="73" t="inlineStr">
        <is>
          <t>Annual Budget</t>
        </is>
      </c>
      <c r="D25" s="73" t="inlineStr">
        <is>
          <t>Annual Actual</t>
        </is>
      </c>
      <c r="E25" s="73" t="inlineStr">
        <is>
          <t>Variance ($)</t>
        </is>
      </c>
      <c r="F25" s="73" t="inlineStr">
        <is>
          <t>Variance (%)</t>
        </is>
      </c>
      <c r="G25" s="73" t="inlineStr">
        <is>
          <t>Q1 Actual</t>
        </is>
      </c>
      <c r="H25" s="73" t="inlineStr">
        <is>
          <t>Q2 Actual</t>
        </is>
      </c>
      <c r="I25" s="73" t="inlineStr">
        <is>
          <t>Q3 Actual</t>
        </is>
      </c>
      <c r="J25" s="73" t="inlineStr">
        <is>
          <t>Q4 Actual</t>
        </is>
      </c>
      <c r="K25" s="73" t="inlineStr">
        <is>
          <t>Avg Monthly</t>
        </is>
      </c>
      <c r="L25" s="73" t="inlineStr">
        <is>
          <t>Max Month</t>
        </is>
      </c>
      <c r="M25" s="73" t="inlineStr">
        <is>
          <t>Status</t>
        </is>
      </c>
      <c r="N25" s="73" t="n"/>
    </row>
    <row r="26" ht="18.75" customHeight="1" s="66">
      <c r="A26" s="74" t="n"/>
      <c r="B26" s="84" t="inlineStr">
        <is>
          <t>Salaries &amp; Wages</t>
        </is>
      </c>
      <c r="C26" s="76">
        <f>SUM('🎯 Budget Targets'!C9:N9)</f>
        <v/>
      </c>
      <c r="D26" s="76">
        <f>'💰 Budget Data'!O8</f>
        <v/>
      </c>
      <c r="E26" s="76">
        <f>D26-C26</f>
        <v/>
      </c>
      <c r="F26" s="77">
        <f>IFERROR(E26/C26,0)</f>
        <v/>
      </c>
      <c r="G26" s="76">
        <f>SUM('💰 Budget Data'!C8:E8)</f>
        <v/>
      </c>
      <c r="H26" s="76">
        <f>SUM('💰 Budget Data'!F8:H8)</f>
        <v/>
      </c>
      <c r="I26" s="76">
        <f>SUM('💰 Budget Data'!I8:K8)</f>
        <v/>
      </c>
      <c r="J26" s="76">
        <f>SUM('💰 Budget Data'!L8:N8)</f>
        <v/>
      </c>
      <c r="K26" s="76">
        <f>IFERROR(D26/12,0)</f>
        <v/>
      </c>
      <c r="L26" s="76">
        <f>IFERROR(MAX('💰 Budget Data'!C8:N8),0)</f>
        <v/>
      </c>
      <c r="M26" s="85">
        <f>IF(E26&lt;=0,"✅ Under Budget",IF(F26&lt;0.1,"⚠️ Near Limit","❌ Over Budget"))</f>
        <v/>
      </c>
      <c r="N26" s="74" t="n"/>
    </row>
    <row r="27" ht="18.75" customHeight="1" s="66">
      <c r="A27" s="74" t="n"/>
      <c r="B27" s="86" t="inlineStr">
        <is>
          <t>Rent &amp; Utilities</t>
        </is>
      </c>
      <c r="C27" s="79">
        <f>SUM('🎯 Budget Targets'!C10:N10)</f>
        <v/>
      </c>
      <c r="D27" s="79">
        <f>'💰 Budget Data'!O9</f>
        <v/>
      </c>
      <c r="E27" s="79">
        <f>D27-C27</f>
        <v/>
      </c>
      <c r="F27" s="80">
        <f>IFERROR(E27/C27,0)</f>
        <v/>
      </c>
      <c r="G27" s="79">
        <f>SUM('💰 Budget Data'!C9:E9)</f>
        <v/>
      </c>
      <c r="H27" s="79">
        <f>SUM('💰 Budget Data'!F9:H9)</f>
        <v/>
      </c>
      <c r="I27" s="79">
        <f>SUM('💰 Budget Data'!I9:K9)</f>
        <v/>
      </c>
      <c r="J27" s="79">
        <f>SUM('💰 Budget Data'!L9:N9)</f>
        <v/>
      </c>
      <c r="K27" s="79">
        <f>IFERROR(D27/12,0)</f>
        <v/>
      </c>
      <c r="L27" s="79">
        <f>IFERROR(MAX('💰 Budget Data'!C9:N9),0)</f>
        <v/>
      </c>
      <c r="M27" s="87">
        <f>IF(E27&lt;=0,"✅ Under Budget",IF(F27&lt;0.1,"⚠️ Near Limit","❌ Over Budget"))</f>
        <v/>
      </c>
      <c r="N27" s="74" t="n"/>
    </row>
    <row r="28" ht="18.75" customHeight="1" s="66">
      <c r="A28" s="74" t="n"/>
      <c r="B28" s="84" t="inlineStr">
        <is>
          <t>Marketing &amp; Ads</t>
        </is>
      </c>
      <c r="C28" s="76">
        <f>SUM('🎯 Budget Targets'!C11:N11)</f>
        <v/>
      </c>
      <c r="D28" s="76">
        <f>'💰 Budget Data'!O10</f>
        <v/>
      </c>
      <c r="E28" s="76">
        <f>D28-C28</f>
        <v/>
      </c>
      <c r="F28" s="77">
        <f>IFERROR(E28/C28,0)</f>
        <v/>
      </c>
      <c r="G28" s="76">
        <f>SUM('💰 Budget Data'!C10:E10)</f>
        <v/>
      </c>
      <c r="H28" s="76">
        <f>SUM('💰 Budget Data'!F10:H10)</f>
        <v/>
      </c>
      <c r="I28" s="76">
        <f>SUM('💰 Budget Data'!I10:K10)</f>
        <v/>
      </c>
      <c r="J28" s="76">
        <f>SUM('💰 Budget Data'!L10:N10)</f>
        <v/>
      </c>
      <c r="K28" s="76">
        <f>IFERROR(D28/12,0)</f>
        <v/>
      </c>
      <c r="L28" s="76">
        <f>IFERROR(MAX('💰 Budget Data'!C10:N10),0)</f>
        <v/>
      </c>
      <c r="M28" s="85">
        <f>IF(E28&lt;=0,"✅ Under Budget",IF(F28&lt;0.1,"⚠️ Near Limit","❌ Over Budget"))</f>
        <v/>
      </c>
      <c r="N28" s="74" t="n"/>
    </row>
    <row r="29" ht="18.75" customHeight="1" s="66">
      <c r="A29" s="74" t="n"/>
      <c r="B29" s="86" t="inlineStr">
        <is>
          <t>Software &amp; Tools</t>
        </is>
      </c>
      <c r="C29" s="79">
        <f>SUM('🎯 Budget Targets'!C12:N12)</f>
        <v/>
      </c>
      <c r="D29" s="79">
        <f>'💰 Budget Data'!O11</f>
        <v/>
      </c>
      <c r="E29" s="79">
        <f>D29-C29</f>
        <v/>
      </c>
      <c r="F29" s="80">
        <f>IFERROR(E29/C29,0)</f>
        <v/>
      </c>
      <c r="G29" s="79">
        <f>SUM('💰 Budget Data'!C11:E11)</f>
        <v/>
      </c>
      <c r="H29" s="79">
        <f>SUM('💰 Budget Data'!F11:H11)</f>
        <v/>
      </c>
      <c r="I29" s="79">
        <f>SUM('💰 Budget Data'!I11:K11)</f>
        <v/>
      </c>
      <c r="J29" s="79">
        <f>SUM('💰 Budget Data'!L11:N11)</f>
        <v/>
      </c>
      <c r="K29" s="79">
        <f>IFERROR(D29/12,0)</f>
        <v/>
      </c>
      <c r="L29" s="79">
        <f>IFERROR(MAX('💰 Budget Data'!C11:N11),0)</f>
        <v/>
      </c>
      <c r="M29" s="87">
        <f>IF(E29&lt;=0,"✅ Under Budget",IF(F29&lt;0.1,"⚠️ Near Limit","❌ Over Budget"))</f>
        <v/>
      </c>
      <c r="N29" s="74" t="n"/>
    </row>
    <row r="30" ht="18.75" customHeight="1" s="66">
      <c r="A30" s="74" t="n"/>
      <c r="B30" s="84" t="inlineStr">
        <is>
          <t>Travel &amp; Entertainment</t>
        </is>
      </c>
      <c r="C30" s="76">
        <f>SUM('🎯 Budget Targets'!C13:N13)</f>
        <v/>
      </c>
      <c r="D30" s="76">
        <f>'💰 Budget Data'!O12</f>
        <v/>
      </c>
      <c r="E30" s="76">
        <f>D30-C30</f>
        <v/>
      </c>
      <c r="F30" s="77">
        <f>IFERROR(E30/C30,0)</f>
        <v/>
      </c>
      <c r="G30" s="76">
        <f>SUM('💰 Budget Data'!C12:E12)</f>
        <v/>
      </c>
      <c r="H30" s="76">
        <f>SUM('💰 Budget Data'!F12:H12)</f>
        <v/>
      </c>
      <c r="I30" s="76">
        <f>SUM('💰 Budget Data'!I12:K12)</f>
        <v/>
      </c>
      <c r="J30" s="76">
        <f>SUM('💰 Budget Data'!L12:N12)</f>
        <v/>
      </c>
      <c r="K30" s="76">
        <f>IFERROR(D30/12,0)</f>
        <v/>
      </c>
      <c r="L30" s="76">
        <f>IFERROR(MAX('💰 Budget Data'!C12:N12),0)</f>
        <v/>
      </c>
      <c r="M30" s="85">
        <f>IF(E30&lt;=0,"✅ Under Budget",IF(F30&lt;0.1,"⚠️ Near Limit","❌ Over Budget"))</f>
        <v/>
      </c>
      <c r="N30" s="74" t="n"/>
    </row>
    <row r="31" ht="18.75" customHeight="1" s="66">
      <c r="A31" s="74" t="n"/>
      <c r="B31" s="86" t="inlineStr">
        <is>
          <t>Office Supplies</t>
        </is>
      </c>
      <c r="C31" s="79">
        <f>SUM('🎯 Budget Targets'!C14:N14)</f>
        <v/>
      </c>
      <c r="D31" s="79">
        <f>'💰 Budget Data'!O13</f>
        <v/>
      </c>
      <c r="E31" s="79">
        <f>D31-C31</f>
        <v/>
      </c>
      <c r="F31" s="80">
        <f>IFERROR(E31/C31,0)</f>
        <v/>
      </c>
      <c r="G31" s="79">
        <f>SUM('💰 Budget Data'!C13:E13)</f>
        <v/>
      </c>
      <c r="H31" s="79">
        <f>SUM('💰 Budget Data'!F13:H13)</f>
        <v/>
      </c>
      <c r="I31" s="79">
        <f>SUM('💰 Budget Data'!I13:K13)</f>
        <v/>
      </c>
      <c r="J31" s="79">
        <f>SUM('💰 Budget Data'!L13:N13)</f>
        <v/>
      </c>
      <c r="K31" s="79">
        <f>IFERROR(D31/12,0)</f>
        <v/>
      </c>
      <c r="L31" s="79">
        <f>IFERROR(MAX('💰 Budget Data'!C13:N13),0)</f>
        <v/>
      </c>
      <c r="M31" s="87">
        <f>IF(E31&lt;=0,"✅ Under Budget",IF(F31&lt;0.1,"⚠️ Near Limit","❌ Over Budget"))</f>
        <v/>
      </c>
      <c r="N31" s="74" t="n"/>
    </row>
    <row r="32" ht="18.75" customHeight="1" s="66">
      <c r="A32" s="74" t="n"/>
      <c r="B32" s="84" t="inlineStr">
        <is>
          <t>Professional Services</t>
        </is>
      </c>
      <c r="C32" s="76">
        <f>SUM('🎯 Budget Targets'!C15:N15)</f>
        <v/>
      </c>
      <c r="D32" s="76">
        <f>'💰 Budget Data'!O14</f>
        <v/>
      </c>
      <c r="E32" s="76">
        <f>D32-C32</f>
        <v/>
      </c>
      <c r="F32" s="77">
        <f>IFERROR(E32/C32,0)</f>
        <v/>
      </c>
      <c r="G32" s="76">
        <f>SUM('💰 Budget Data'!C14:E14)</f>
        <v/>
      </c>
      <c r="H32" s="76">
        <f>SUM('💰 Budget Data'!F14:H14)</f>
        <v/>
      </c>
      <c r="I32" s="76">
        <f>SUM('💰 Budget Data'!I14:K14)</f>
        <v/>
      </c>
      <c r="J32" s="76">
        <f>SUM('💰 Budget Data'!L14:N14)</f>
        <v/>
      </c>
      <c r="K32" s="76">
        <f>IFERROR(D32/12,0)</f>
        <v/>
      </c>
      <c r="L32" s="76">
        <f>IFERROR(MAX('💰 Budget Data'!C14:N14),0)</f>
        <v/>
      </c>
      <c r="M32" s="85">
        <f>IF(E32&lt;=0,"✅ Under Budget",IF(F32&lt;0.1,"⚠️ Near Limit","❌ Over Budget"))</f>
        <v/>
      </c>
      <c r="N32" s="74" t="n"/>
    </row>
    <row r="33" ht="18.75" customHeight="1" s="66">
      <c r="A33" s="74" t="n"/>
      <c r="B33" s="86" t="inlineStr">
        <is>
          <t>R&amp;D / Training</t>
        </is>
      </c>
      <c r="C33" s="79">
        <f>SUM('🎯 Budget Targets'!C16:N16)</f>
        <v/>
      </c>
      <c r="D33" s="79">
        <f>'💰 Budget Data'!O15</f>
        <v/>
      </c>
      <c r="E33" s="79">
        <f>D33-C33</f>
        <v/>
      </c>
      <c r="F33" s="80">
        <f>IFERROR(E33/C33,0)</f>
        <v/>
      </c>
      <c r="G33" s="79">
        <f>SUM('💰 Budget Data'!C15:E15)</f>
        <v/>
      </c>
      <c r="H33" s="79">
        <f>SUM('💰 Budget Data'!F15:H15)</f>
        <v/>
      </c>
      <c r="I33" s="79">
        <f>SUM('💰 Budget Data'!I15:K15)</f>
        <v/>
      </c>
      <c r="J33" s="79">
        <f>SUM('💰 Budget Data'!L15:N15)</f>
        <v/>
      </c>
      <c r="K33" s="79">
        <f>IFERROR(D33/12,0)</f>
        <v/>
      </c>
      <c r="L33" s="79">
        <f>IFERROR(MAX('💰 Budget Data'!C15:N15),0)</f>
        <v/>
      </c>
      <c r="M33" s="87">
        <f>IF(E33&lt;=0,"✅ Under Budget",IF(F33&lt;0.1,"⚠️ Near Limit","❌ Over Budget"))</f>
        <v/>
      </c>
      <c r="N33" s="74" t="n"/>
    </row>
    <row r="34" ht="18.75" customHeight="1" s="66">
      <c r="A34" s="74" t="n"/>
      <c r="B34" s="84" t="inlineStr">
        <is>
          <t>Miscellaneous</t>
        </is>
      </c>
      <c r="C34" s="76">
        <f>SUM('🎯 Budget Targets'!C17:N17)</f>
        <v/>
      </c>
      <c r="D34" s="76">
        <f>'💰 Budget Data'!O16</f>
        <v/>
      </c>
      <c r="E34" s="76">
        <f>D34-C34</f>
        <v/>
      </c>
      <c r="F34" s="77">
        <f>IFERROR(E34/C34,0)</f>
        <v/>
      </c>
      <c r="G34" s="76">
        <f>SUM('💰 Budget Data'!C16:E16)</f>
        <v/>
      </c>
      <c r="H34" s="76">
        <f>SUM('💰 Budget Data'!F16:H16)</f>
        <v/>
      </c>
      <c r="I34" s="76">
        <f>SUM('💰 Budget Data'!I16:K16)</f>
        <v/>
      </c>
      <c r="J34" s="76">
        <f>SUM('💰 Budget Data'!L16:N16)</f>
        <v/>
      </c>
      <c r="K34" s="76">
        <f>IFERROR(D34/12,0)</f>
        <v/>
      </c>
      <c r="L34" s="76">
        <f>IFERROR(MAX('💰 Budget Data'!C16:N16),0)</f>
        <v/>
      </c>
      <c r="M34" s="85">
        <f>IF(E34&lt;=0,"✅ Under Budget",IF(F34&lt;0.1,"⚠️ Near Limit","❌ Over Budget"))</f>
        <v/>
      </c>
      <c r="N34" s="74" t="n"/>
    </row>
  </sheetData>
  <mergeCells count="11">
    <mergeCell ref="A3:N3"/>
    <mergeCell ref="A1:M1"/>
    <mergeCell ref="B5:D6"/>
    <mergeCell ref="F5:H6"/>
    <mergeCell ref="A8:M8"/>
    <mergeCell ref="B4:D4"/>
    <mergeCell ref="J5:L6"/>
    <mergeCell ref="F4:H4"/>
    <mergeCell ref="J4:L4"/>
    <mergeCell ref="A24:M24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DC653"/>
    <outlinePr summaryBelow="1" summaryRight="1"/>
    <pageSetUpPr fitToPage="0"/>
  </sheetPr>
  <dimension ref="A1:O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65" min="1" max="1"/>
    <col width="12" customWidth="1" style="65" min="2" max="14"/>
    <col width="14" customWidth="1" style="65" min="15" max="15"/>
  </cols>
  <sheetData>
    <row r="1" ht="27.75" customHeight="1" s="66">
      <c r="A1" s="88" t="inlineStr">
        <is>
          <t>MONTHLY BUDGET DATA  |  2026  |  Enter actual figures below</t>
        </is>
      </c>
    </row>
    <row r="2" ht="21.75" customHeight="1" s="66">
      <c r="A2" s="89" t="inlineStr">
        <is>
          <t>Category</t>
        </is>
      </c>
      <c r="B2" s="89" t="inlineStr">
        <is>
          <t>Type</t>
        </is>
      </c>
      <c r="C2" s="89" t="inlineStr">
        <is>
          <t>Jan</t>
        </is>
      </c>
      <c r="D2" s="89" t="inlineStr">
        <is>
          <t>Feb</t>
        </is>
      </c>
      <c r="E2" s="89" t="inlineStr">
        <is>
          <t>Mar</t>
        </is>
      </c>
      <c r="F2" s="89" t="inlineStr">
        <is>
          <t>Apr</t>
        </is>
      </c>
      <c r="G2" s="89" t="inlineStr">
        <is>
          <t>May</t>
        </is>
      </c>
      <c r="H2" s="89" t="inlineStr">
        <is>
          <t>Jun</t>
        </is>
      </c>
      <c r="I2" s="89" t="inlineStr">
        <is>
          <t>Jul</t>
        </is>
      </c>
      <c r="J2" s="89" t="inlineStr">
        <is>
          <t>Aug</t>
        </is>
      </c>
      <c r="K2" s="89" t="inlineStr">
        <is>
          <t>Sep</t>
        </is>
      </c>
      <c r="L2" s="89" t="inlineStr">
        <is>
          <t>Oct</t>
        </is>
      </c>
      <c r="M2" s="89" t="inlineStr">
        <is>
          <t>Nov</t>
        </is>
      </c>
      <c r="N2" s="89" t="inlineStr">
        <is>
          <t>Dec</t>
        </is>
      </c>
      <c r="O2" s="89" t="inlineStr">
        <is>
          <t>Annual Total</t>
        </is>
      </c>
    </row>
    <row r="3" ht="19.5" customHeight="1" s="66">
      <c r="A3" s="90" t="inlineStr">
        <is>
          <t>── REVENUE ──</t>
        </is>
      </c>
    </row>
    <row r="4" ht="19.5" customHeight="1" s="66">
      <c r="A4" s="91" t="inlineStr">
        <is>
          <t>Product Sales</t>
        </is>
      </c>
      <c r="B4" s="92" t="inlineStr">
        <is>
          <t>Revenue</t>
        </is>
      </c>
      <c r="C4" s="93" t="n">
        <v>82000</v>
      </c>
      <c r="D4" s="93" t="n">
        <v>75000</v>
      </c>
      <c r="E4" s="93" t="n">
        <v>90000</v>
      </c>
      <c r="F4" s="93" t="n">
        <v>95000</v>
      </c>
      <c r="G4" s="93" t="n">
        <v>88000</v>
      </c>
      <c r="H4" s="93" t="n">
        <v>102000</v>
      </c>
      <c r="I4" s="93" t="n">
        <v>98000</v>
      </c>
      <c r="J4" s="93" t="n">
        <v>85000</v>
      </c>
      <c r="K4" s="93" t="n">
        <v>91000</v>
      </c>
      <c r="L4" s="93" t="n">
        <v>110000</v>
      </c>
      <c r="M4" s="93" t="n">
        <v>105000</v>
      </c>
      <c r="N4" s="93" t="n">
        <v>120000</v>
      </c>
      <c r="O4" s="94">
        <f>SUM(C4:N4)</f>
        <v/>
      </c>
    </row>
    <row r="5" ht="19.5" customHeight="1" s="66">
      <c r="A5" s="95" t="inlineStr">
        <is>
          <t>Service Revenue</t>
        </is>
      </c>
      <c r="B5" s="96" t="inlineStr">
        <is>
          <t>Revenue</t>
        </is>
      </c>
      <c r="C5" s="97" t="n">
        <v>35000</v>
      </c>
      <c r="D5" s="97" t="n">
        <v>38000</v>
      </c>
      <c r="E5" s="97" t="n">
        <v>36000</v>
      </c>
      <c r="F5" s="97" t="n">
        <v>40000</v>
      </c>
      <c r="G5" s="97" t="n">
        <v>42000</v>
      </c>
      <c r="H5" s="97" t="n">
        <v>45000</v>
      </c>
      <c r="I5" s="97" t="n">
        <v>43000</v>
      </c>
      <c r="J5" s="97" t="n">
        <v>39000</v>
      </c>
      <c r="K5" s="97" t="n">
        <v>44000</v>
      </c>
      <c r="L5" s="97" t="n">
        <v>48000</v>
      </c>
      <c r="M5" s="97" t="n">
        <v>50000</v>
      </c>
      <c r="N5" s="97" t="n">
        <v>55000</v>
      </c>
      <c r="O5" s="94">
        <f>SUM(C5:N5)</f>
        <v/>
      </c>
    </row>
    <row r="6" ht="19.5" customHeight="1" s="66">
      <c r="A6" s="91" t="inlineStr">
        <is>
          <t>Other Income</t>
        </is>
      </c>
      <c r="B6" s="92" t="inlineStr">
        <is>
          <t>Revenue</t>
        </is>
      </c>
      <c r="C6" s="93" t="n">
        <v>5000</v>
      </c>
      <c r="D6" s="93" t="n">
        <v>3000</v>
      </c>
      <c r="E6" s="93" t="n">
        <v>4500</v>
      </c>
      <c r="F6" s="93" t="n">
        <v>6000</v>
      </c>
      <c r="G6" s="93" t="n">
        <v>5500</v>
      </c>
      <c r="H6" s="93" t="n">
        <v>7000</v>
      </c>
      <c r="I6" s="93" t="n">
        <v>4000</v>
      </c>
      <c r="J6" s="93" t="n">
        <v>3500</v>
      </c>
      <c r="K6" s="93" t="n">
        <v>6500</v>
      </c>
      <c r="L6" s="93" t="n">
        <v>8000</v>
      </c>
      <c r="M6" s="93" t="n">
        <v>5000</v>
      </c>
      <c r="N6" s="93" t="n">
        <v>9000</v>
      </c>
      <c r="O6" s="94">
        <f>SUM(C6:N6)</f>
        <v/>
      </c>
    </row>
    <row r="7" ht="19.5" customHeight="1" s="66">
      <c r="A7" s="98" t="inlineStr">
        <is>
          <t>── EXPENSES ──</t>
        </is>
      </c>
    </row>
    <row r="8" ht="19.5" customHeight="1" s="66">
      <c r="A8" s="91" t="inlineStr">
        <is>
          <t>Salaries &amp; Wages</t>
        </is>
      </c>
      <c r="B8" s="92" t="inlineStr">
        <is>
          <t>Expenses</t>
        </is>
      </c>
      <c r="C8" s="93" t="n">
        <v>45000</v>
      </c>
      <c r="D8" s="93" t="n">
        <v>45000</v>
      </c>
      <c r="E8" s="93" t="n">
        <v>45000</v>
      </c>
      <c r="F8" s="93" t="n">
        <v>46000</v>
      </c>
      <c r="G8" s="93" t="n">
        <v>46000</v>
      </c>
      <c r="H8" s="93" t="n">
        <v>46000</v>
      </c>
      <c r="I8" s="93" t="n">
        <v>47000</v>
      </c>
      <c r="J8" s="93" t="n">
        <v>47000</v>
      </c>
      <c r="K8" s="93" t="n">
        <v>47000</v>
      </c>
      <c r="L8" s="93" t="n">
        <v>48000</v>
      </c>
      <c r="M8" s="93" t="n">
        <v>48000</v>
      </c>
      <c r="N8" s="93" t="n">
        <v>50000</v>
      </c>
      <c r="O8" s="94">
        <f>SUM(C8:N8)</f>
        <v/>
      </c>
    </row>
    <row r="9" ht="19.5" customHeight="1" s="66">
      <c r="A9" s="95" t="inlineStr">
        <is>
          <t>Rent &amp; Utilities</t>
        </is>
      </c>
      <c r="B9" s="96" t="inlineStr">
        <is>
          <t>Expenses</t>
        </is>
      </c>
      <c r="C9" s="97" t="n">
        <v>8500</v>
      </c>
      <c r="D9" s="97" t="n">
        <v>8500</v>
      </c>
      <c r="E9" s="97" t="n">
        <v>8500</v>
      </c>
      <c r="F9" s="97" t="n">
        <v>8500</v>
      </c>
      <c r="G9" s="97" t="n">
        <v>8500</v>
      </c>
      <c r="H9" s="97" t="n">
        <v>8500</v>
      </c>
      <c r="I9" s="97" t="n">
        <v>8500</v>
      </c>
      <c r="J9" s="97" t="n">
        <v>8500</v>
      </c>
      <c r="K9" s="97" t="n">
        <v>8500</v>
      </c>
      <c r="L9" s="97" t="n">
        <v>8500</v>
      </c>
      <c r="M9" s="97" t="n">
        <v>8500</v>
      </c>
      <c r="N9" s="97" t="n">
        <v>8500</v>
      </c>
      <c r="O9" s="94">
        <f>SUM(C9:N9)</f>
        <v/>
      </c>
    </row>
    <row r="10" ht="19.5" customHeight="1" s="66">
      <c r="A10" s="91" t="inlineStr">
        <is>
          <t>Marketing &amp; Ads</t>
        </is>
      </c>
      <c r="B10" s="92" t="inlineStr">
        <is>
          <t>Expenses</t>
        </is>
      </c>
      <c r="C10" s="93" t="n">
        <v>12000</v>
      </c>
      <c r="D10" s="93" t="n">
        <v>10000</v>
      </c>
      <c r="E10" s="93" t="n">
        <v>15000</v>
      </c>
      <c r="F10" s="93" t="n">
        <v>18000</v>
      </c>
      <c r="G10" s="93" t="n">
        <v>14000</v>
      </c>
      <c r="H10" s="93" t="n">
        <v>20000</v>
      </c>
      <c r="I10" s="93" t="n">
        <v>16000</v>
      </c>
      <c r="J10" s="93" t="n">
        <v>12000</v>
      </c>
      <c r="K10" s="93" t="n">
        <v>18000</v>
      </c>
      <c r="L10" s="93" t="n">
        <v>22000</v>
      </c>
      <c r="M10" s="93" t="n">
        <v>25000</v>
      </c>
      <c r="N10" s="93" t="n">
        <v>28000</v>
      </c>
      <c r="O10" s="94">
        <f>SUM(C10:N10)</f>
        <v/>
      </c>
    </row>
    <row r="11" ht="19.5" customHeight="1" s="66">
      <c r="A11" s="95" t="inlineStr">
        <is>
          <t>Software &amp; Tools</t>
        </is>
      </c>
      <c r="B11" s="96" t="inlineStr">
        <is>
          <t>Expenses</t>
        </is>
      </c>
      <c r="C11" s="97" t="n">
        <v>3200</v>
      </c>
      <c r="D11" s="97" t="n">
        <v>3200</v>
      </c>
      <c r="E11" s="97" t="n">
        <v>3200</v>
      </c>
      <c r="F11" s="97" t="n">
        <v>3200</v>
      </c>
      <c r="G11" s="97" t="n">
        <v>3200</v>
      </c>
      <c r="H11" s="97" t="n">
        <v>3200</v>
      </c>
      <c r="I11" s="97" t="n">
        <v>3200</v>
      </c>
      <c r="J11" s="97" t="n">
        <v>3200</v>
      </c>
      <c r="K11" s="97" t="n">
        <v>3200</v>
      </c>
      <c r="L11" s="97" t="n">
        <v>3200</v>
      </c>
      <c r="M11" s="97" t="n">
        <v>3200</v>
      </c>
      <c r="N11" s="97" t="n">
        <v>3200</v>
      </c>
      <c r="O11" s="94">
        <f>SUM(C11:N11)</f>
        <v/>
      </c>
    </row>
    <row r="12" ht="19.5" customHeight="1" s="66">
      <c r="A12" s="91" t="inlineStr">
        <is>
          <t>Travel &amp; Entertainment</t>
        </is>
      </c>
      <c r="B12" s="92" t="inlineStr">
        <is>
          <t>Expenses</t>
        </is>
      </c>
      <c r="C12" s="93" t="n">
        <v>2000</v>
      </c>
      <c r="D12" s="93" t="n">
        <v>1500</v>
      </c>
      <c r="E12" s="93" t="n">
        <v>3000</v>
      </c>
      <c r="F12" s="93" t="n">
        <v>2500</v>
      </c>
      <c r="G12" s="93" t="n">
        <v>4000</v>
      </c>
      <c r="H12" s="93" t="n">
        <v>5000</v>
      </c>
      <c r="I12" s="93" t="n">
        <v>3500</v>
      </c>
      <c r="J12" s="93" t="n">
        <v>2000</v>
      </c>
      <c r="K12" s="93" t="n">
        <v>4500</v>
      </c>
      <c r="L12" s="93" t="n">
        <v>3000</v>
      </c>
      <c r="M12" s="93" t="n">
        <v>2500</v>
      </c>
      <c r="N12" s="93" t="n">
        <v>3500</v>
      </c>
      <c r="O12" s="94">
        <f>SUM(C12:N12)</f>
        <v/>
      </c>
    </row>
    <row r="13" ht="19.5" customHeight="1" s="66">
      <c r="A13" s="95" t="inlineStr">
        <is>
          <t>Office Supplies</t>
        </is>
      </c>
      <c r="B13" s="96" t="inlineStr">
        <is>
          <t>Expenses</t>
        </is>
      </c>
      <c r="C13" s="97" t="n">
        <v>800</v>
      </c>
      <c r="D13" s="97" t="n">
        <v>600</v>
      </c>
      <c r="E13" s="97" t="n">
        <v>900</v>
      </c>
      <c r="F13" s="97" t="n">
        <v>750</v>
      </c>
      <c r="G13" s="97" t="n">
        <v>700</v>
      </c>
      <c r="H13" s="97" t="n">
        <v>850</v>
      </c>
      <c r="I13" s="97" t="n">
        <v>800</v>
      </c>
      <c r="J13" s="97" t="n">
        <v>650</v>
      </c>
      <c r="K13" s="97" t="n">
        <v>900</v>
      </c>
      <c r="L13" s="97" t="n">
        <v>1000</v>
      </c>
      <c r="M13" s="97" t="n">
        <v>750</v>
      </c>
      <c r="N13" s="97" t="n">
        <v>900</v>
      </c>
      <c r="O13" s="94">
        <f>SUM(C13:N13)</f>
        <v/>
      </c>
    </row>
    <row r="14" ht="19.5" customHeight="1" s="66">
      <c r="A14" s="91" t="inlineStr">
        <is>
          <t>Professional Services</t>
        </is>
      </c>
      <c r="B14" s="92" t="inlineStr">
        <is>
          <t>Expenses</t>
        </is>
      </c>
      <c r="C14" s="93" t="n">
        <v>5000</v>
      </c>
      <c r="D14" s="93" t="n">
        <v>5000</v>
      </c>
      <c r="E14" s="93" t="n">
        <v>5000</v>
      </c>
      <c r="F14" s="93" t="n">
        <v>5000</v>
      </c>
      <c r="G14" s="93" t="n">
        <v>5000</v>
      </c>
      <c r="H14" s="93" t="n">
        <v>5000</v>
      </c>
      <c r="I14" s="93" t="n">
        <v>5000</v>
      </c>
      <c r="J14" s="93" t="n">
        <v>5000</v>
      </c>
      <c r="K14" s="93" t="n">
        <v>5000</v>
      </c>
      <c r="L14" s="93" t="n">
        <v>5000</v>
      </c>
      <c r="M14" s="93" t="n">
        <v>5000</v>
      </c>
      <c r="N14" s="93" t="n">
        <v>5000</v>
      </c>
      <c r="O14" s="94">
        <f>SUM(C14:N14)</f>
        <v/>
      </c>
    </row>
    <row r="15" ht="19.5" customHeight="1" s="66">
      <c r="A15" s="95" t="inlineStr">
        <is>
          <t>R&amp;D / Training</t>
        </is>
      </c>
      <c r="B15" s="96" t="inlineStr">
        <is>
          <t>Expenses</t>
        </is>
      </c>
      <c r="C15" s="97" t="n">
        <v>3000</v>
      </c>
      <c r="D15" s="97" t="n">
        <v>2500</v>
      </c>
      <c r="E15" s="97" t="n">
        <v>4000</v>
      </c>
      <c r="F15" s="97" t="n">
        <v>3500</v>
      </c>
      <c r="G15" s="97" t="n">
        <v>3000</v>
      </c>
      <c r="H15" s="97" t="n">
        <v>4500</v>
      </c>
      <c r="I15" s="97" t="n">
        <v>4000</v>
      </c>
      <c r="J15" s="97" t="n">
        <v>3000</v>
      </c>
      <c r="K15" s="97" t="n">
        <v>3500</v>
      </c>
      <c r="L15" s="97" t="n">
        <v>4000</v>
      </c>
      <c r="M15" s="97" t="n">
        <v>3500</v>
      </c>
      <c r="N15" s="97" t="n">
        <v>4000</v>
      </c>
      <c r="O15" s="94">
        <f>SUM(C15:N15)</f>
        <v/>
      </c>
    </row>
    <row r="16" ht="19.5" customHeight="1" s="66">
      <c r="A16" s="91" t="inlineStr">
        <is>
          <t>Miscellaneous</t>
        </is>
      </c>
      <c r="B16" s="92" t="inlineStr">
        <is>
          <t>Expenses</t>
        </is>
      </c>
      <c r="C16" s="93" t="n">
        <v>1200</v>
      </c>
      <c r="D16" s="93" t="n">
        <v>900</v>
      </c>
      <c r="E16" s="93" t="n">
        <v>1500</v>
      </c>
      <c r="F16" s="93" t="n">
        <v>1100</v>
      </c>
      <c r="G16" s="93" t="n">
        <v>1300</v>
      </c>
      <c r="H16" s="93" t="n">
        <v>1600</v>
      </c>
      <c r="I16" s="93" t="n">
        <v>1400</v>
      </c>
      <c r="J16" s="93" t="n">
        <v>1000</v>
      </c>
      <c r="K16" s="93" t="n">
        <v>1500</v>
      </c>
      <c r="L16" s="93" t="n">
        <v>1800</v>
      </c>
      <c r="M16" s="93" t="n">
        <v>1200</v>
      </c>
      <c r="N16" s="93" t="n">
        <v>2000</v>
      </c>
      <c r="O16" s="94">
        <f>SUM(C16:N16)</f>
        <v/>
      </c>
    </row>
    <row r="17" ht="19.5" customHeight="1" s="66">
      <c r="A17" s="99" t="inlineStr">
        <is>
          <t>TOTAL REVENUE</t>
        </is>
      </c>
      <c r="C17" s="100">
        <f>C4+C5+C6</f>
        <v/>
      </c>
      <c r="D17" s="100">
        <f>D4+D5+D6</f>
        <v/>
      </c>
      <c r="E17" s="100">
        <f>E4+E5+E6</f>
        <v/>
      </c>
      <c r="F17" s="100">
        <f>F4+F5+F6</f>
        <v/>
      </c>
      <c r="G17" s="100">
        <f>G4+G5+G6</f>
        <v/>
      </c>
      <c r="H17" s="100">
        <f>H4+H5+H6</f>
        <v/>
      </c>
      <c r="I17" s="100">
        <f>I4+I5+I6</f>
        <v/>
      </c>
      <c r="J17" s="100">
        <f>J4+J5+J6</f>
        <v/>
      </c>
      <c r="K17" s="100">
        <f>K4+K5+K6</f>
        <v/>
      </c>
      <c r="L17" s="100">
        <f>L4+L5+L6</f>
        <v/>
      </c>
      <c r="M17" s="100">
        <f>M4+M5+M6</f>
        <v/>
      </c>
      <c r="N17" s="100">
        <f>N4+N5+N6</f>
        <v/>
      </c>
      <c r="O17" s="100">
        <f>SUM(C17:N17)</f>
        <v/>
      </c>
    </row>
    <row r="18" ht="19.5" customHeight="1" s="66">
      <c r="A18" s="101" t="inlineStr">
        <is>
          <t>TOTAL EXPENSES</t>
        </is>
      </c>
      <c r="C18" s="102">
        <f>C8+C9+C10+C11+C12+C13+C14+C15+C16</f>
        <v/>
      </c>
      <c r="D18" s="102">
        <f>D8+D9+D10+D11+D12+D13+D14+D15+D16</f>
        <v/>
      </c>
      <c r="E18" s="102">
        <f>E8+E9+E10+E11+E12+E13+E14+E15+E16</f>
        <v/>
      </c>
      <c r="F18" s="102">
        <f>F8+F9+F10+F11+F12+F13+F14+F15+F16</f>
        <v/>
      </c>
      <c r="G18" s="102">
        <f>G8+G9+G10+G11+G12+G13+G14+G15+G16</f>
        <v/>
      </c>
      <c r="H18" s="102">
        <f>H8+H9+H10+H11+H12+H13+H14+H15+H16</f>
        <v/>
      </c>
      <c r="I18" s="102">
        <f>I8+I9+I10+I11+I12+I13+I14+I15+I16</f>
        <v/>
      </c>
      <c r="J18" s="102">
        <f>J8+J9+J10+J11+J12+J13+J14+J15+J16</f>
        <v/>
      </c>
      <c r="K18" s="102">
        <f>K8+K9+K10+K11+K12+K13+K14+K15+K16</f>
        <v/>
      </c>
      <c r="L18" s="102">
        <f>L8+L9+L10+L11+L12+L13+L14+L15+L16</f>
        <v/>
      </c>
      <c r="M18" s="102">
        <f>M8+M9+M10+M11+M12+M13+M14+M15+M16</f>
        <v/>
      </c>
      <c r="N18" s="102">
        <f>N8+N9+N10+N11+N12+N13+N14+N15+N16</f>
        <v/>
      </c>
      <c r="O18" s="102">
        <f>SUM(C18:N18)</f>
        <v/>
      </c>
    </row>
    <row r="19" ht="19.5" customHeight="1" s="66">
      <c r="A19" s="90" t="inlineStr">
        <is>
          <t>NET PROFIT / LOSS</t>
        </is>
      </c>
      <c r="C19" s="103">
        <f>C17-C18</f>
        <v/>
      </c>
      <c r="D19" s="103">
        <f>D17-D18</f>
        <v/>
      </c>
      <c r="E19" s="103">
        <f>E17-E18</f>
        <v/>
      </c>
      <c r="F19" s="103">
        <f>F17-F18</f>
        <v/>
      </c>
      <c r="G19" s="103">
        <f>G17-G18</f>
        <v/>
      </c>
      <c r="H19" s="103">
        <f>H17-H18</f>
        <v/>
      </c>
      <c r="I19" s="103">
        <f>I17-I18</f>
        <v/>
      </c>
      <c r="J19" s="103">
        <f>J17-J18</f>
        <v/>
      </c>
      <c r="K19" s="103">
        <f>K17-K18</f>
        <v/>
      </c>
      <c r="L19" s="103">
        <f>L17-L18</f>
        <v/>
      </c>
      <c r="M19" s="103">
        <f>M17-M18</f>
        <v/>
      </c>
      <c r="N19" s="103">
        <f>N17-N18</f>
        <v/>
      </c>
      <c r="O19" s="103">
        <f>O17-O18</f>
        <v/>
      </c>
    </row>
  </sheetData>
  <mergeCells count="6">
    <mergeCell ref="A7:O7"/>
    <mergeCell ref="A19:B19"/>
    <mergeCell ref="A1:O1"/>
    <mergeCell ref="A17:B17"/>
    <mergeCell ref="A18:B18"/>
    <mergeCell ref="A3:O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B703"/>
    <outlinePr summaryBelow="1" summaryRight="1"/>
    <pageSetUpPr fitToPage="0"/>
  </sheetPr>
  <dimension ref="A1:O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65" min="1" max="1"/>
    <col width="12" customWidth="1" style="65" min="2" max="14"/>
    <col width="14" customWidth="1" style="65" min="15" max="15"/>
  </cols>
  <sheetData>
    <row r="1" ht="27.75" customHeight="1" s="66">
      <c r="A1" s="88" t="inlineStr">
        <is>
          <t>BUDGET TARGETS  |  2026  |  Set planned budgets here</t>
        </is>
      </c>
    </row>
    <row r="2" ht="21.75" customHeight="1" s="66">
      <c r="A2" s="89" t="inlineStr">
        <is>
          <t>Category</t>
        </is>
      </c>
      <c r="B2" s="89" t="inlineStr">
        <is>
          <t>Type</t>
        </is>
      </c>
      <c r="C2" s="104" t="inlineStr">
        <is>
          <t>Jan</t>
        </is>
      </c>
      <c r="D2" s="104" t="inlineStr">
        <is>
          <t>Feb</t>
        </is>
      </c>
      <c r="E2" s="104" t="inlineStr">
        <is>
          <t>Mar</t>
        </is>
      </c>
      <c r="F2" s="104" t="inlineStr">
        <is>
          <t>Apr</t>
        </is>
      </c>
      <c r="G2" s="104" t="inlineStr">
        <is>
          <t>May</t>
        </is>
      </c>
      <c r="H2" s="104" t="inlineStr">
        <is>
          <t>Jun</t>
        </is>
      </c>
      <c r="I2" s="104" t="inlineStr">
        <is>
          <t>Jul</t>
        </is>
      </c>
      <c r="J2" s="104" t="inlineStr">
        <is>
          <t>Aug</t>
        </is>
      </c>
      <c r="K2" s="104" t="inlineStr">
        <is>
          <t>Sep</t>
        </is>
      </c>
      <c r="L2" s="104" t="inlineStr">
        <is>
          <t>Oct</t>
        </is>
      </c>
      <c r="M2" s="104" t="inlineStr">
        <is>
          <t>Nov</t>
        </is>
      </c>
      <c r="N2" s="104" t="inlineStr">
        <is>
          <t>Dec</t>
        </is>
      </c>
      <c r="O2" s="104" t="inlineStr">
        <is>
          <t>Annual Total</t>
        </is>
      </c>
    </row>
    <row r="3" ht="15" customHeight="1" s="66">
      <c r="A3" s="90" t="inlineStr">
        <is>
          <t>── REVENUE ──</t>
        </is>
      </c>
    </row>
    <row r="4" ht="15" customHeight="1" s="66">
      <c r="A4" s="91" t="inlineStr">
        <is>
          <t>Product Sales</t>
        </is>
      </c>
      <c r="B4" s="92" t="inlineStr">
        <is>
          <t>Revenue</t>
        </is>
      </c>
      <c r="C4" s="93" t="n">
        <v>85000</v>
      </c>
      <c r="D4" s="93" t="n">
        <v>85000</v>
      </c>
      <c r="E4" s="93" t="n">
        <v>85000</v>
      </c>
      <c r="F4" s="93" t="n">
        <v>85000</v>
      </c>
      <c r="G4" s="93" t="n">
        <v>85000</v>
      </c>
      <c r="H4" s="93" t="n">
        <v>85000</v>
      </c>
      <c r="I4" s="93" t="n">
        <v>85000</v>
      </c>
      <c r="J4" s="93" t="n">
        <v>85000</v>
      </c>
      <c r="K4" s="93" t="n">
        <v>85000</v>
      </c>
      <c r="L4" s="93" t="n">
        <v>85000</v>
      </c>
      <c r="M4" s="93" t="n">
        <v>85000</v>
      </c>
      <c r="N4" s="93" t="n">
        <v>85000</v>
      </c>
      <c r="O4" s="94">
        <f>SUM(C4:N4)</f>
        <v/>
      </c>
    </row>
    <row r="5" ht="15" customHeight="1" s="66">
      <c r="A5" s="95" t="inlineStr">
        <is>
          <t>Service Revenue</t>
        </is>
      </c>
      <c r="B5" s="96" t="inlineStr">
        <is>
          <t>Revenue</t>
        </is>
      </c>
      <c r="C5" s="97" t="n">
        <v>37000</v>
      </c>
      <c r="D5" s="97" t="n">
        <v>37000</v>
      </c>
      <c r="E5" s="97" t="n">
        <v>37000</v>
      </c>
      <c r="F5" s="97" t="n">
        <v>37000</v>
      </c>
      <c r="G5" s="97" t="n">
        <v>37000</v>
      </c>
      <c r="H5" s="97" t="n">
        <v>37000</v>
      </c>
      <c r="I5" s="97" t="n">
        <v>37000</v>
      </c>
      <c r="J5" s="97" t="n">
        <v>37000</v>
      </c>
      <c r="K5" s="97" t="n">
        <v>37000</v>
      </c>
      <c r="L5" s="97" t="n">
        <v>37000</v>
      </c>
      <c r="M5" s="97" t="n">
        <v>37000</v>
      </c>
      <c r="N5" s="97" t="n">
        <v>37000</v>
      </c>
      <c r="O5" s="94">
        <f>SUM(C5:N5)</f>
        <v/>
      </c>
    </row>
    <row r="6" ht="15" customHeight="1" s="66">
      <c r="A6" s="91" t="inlineStr">
        <is>
          <t>Other Income</t>
        </is>
      </c>
      <c r="B6" s="92" t="inlineStr">
        <is>
          <t>Revenue</t>
        </is>
      </c>
      <c r="C6" s="93" t="n">
        <v>5000</v>
      </c>
      <c r="D6" s="93" t="n">
        <v>5000</v>
      </c>
      <c r="E6" s="93" t="n">
        <v>5000</v>
      </c>
      <c r="F6" s="93" t="n">
        <v>5000</v>
      </c>
      <c r="G6" s="93" t="n">
        <v>5000</v>
      </c>
      <c r="H6" s="93" t="n">
        <v>5000</v>
      </c>
      <c r="I6" s="93" t="n">
        <v>5000</v>
      </c>
      <c r="J6" s="93" t="n">
        <v>5000</v>
      </c>
      <c r="K6" s="93" t="n">
        <v>5000</v>
      </c>
      <c r="L6" s="93" t="n">
        <v>5000</v>
      </c>
      <c r="M6" s="93" t="n">
        <v>5000</v>
      </c>
      <c r="N6" s="93" t="n">
        <v>5000</v>
      </c>
      <c r="O6" s="94">
        <f>SUM(C6:N6)</f>
        <v/>
      </c>
    </row>
    <row r="7" ht="15" customHeight="1" s="66">
      <c r="A7" s="98" t="inlineStr">
        <is>
          <t>── EXPENSES ──</t>
        </is>
      </c>
    </row>
    <row r="8" ht="15" customHeight="1" s="66">
      <c r="A8" s="91" t="inlineStr">
        <is>
          <t>Salaries &amp; Wages</t>
        </is>
      </c>
      <c r="B8" s="92" t="inlineStr">
        <is>
          <t>Expenses</t>
        </is>
      </c>
      <c r="C8" s="93" t="n">
        <v>46000</v>
      </c>
      <c r="D8" s="93" t="n">
        <v>46000</v>
      </c>
      <c r="E8" s="93" t="n">
        <v>46000</v>
      </c>
      <c r="F8" s="93" t="n">
        <v>46000</v>
      </c>
      <c r="G8" s="93" t="n">
        <v>46000</v>
      </c>
      <c r="H8" s="93" t="n">
        <v>46000</v>
      </c>
      <c r="I8" s="93" t="n">
        <v>46000</v>
      </c>
      <c r="J8" s="93" t="n">
        <v>46000</v>
      </c>
      <c r="K8" s="93" t="n">
        <v>46000</v>
      </c>
      <c r="L8" s="93" t="n">
        <v>46000</v>
      </c>
      <c r="M8" s="93" t="n">
        <v>46000</v>
      </c>
      <c r="N8" s="93" t="n">
        <v>46000</v>
      </c>
      <c r="O8" s="94">
        <f>SUM(C8:N8)</f>
        <v/>
      </c>
    </row>
    <row r="9" ht="15" customHeight="1" s="66">
      <c r="A9" s="95" t="inlineStr">
        <is>
          <t>Rent &amp; Utilities</t>
        </is>
      </c>
      <c r="B9" s="96" t="inlineStr">
        <is>
          <t>Expenses</t>
        </is>
      </c>
      <c r="C9" s="97" t="n">
        <v>8500</v>
      </c>
      <c r="D9" s="97" t="n">
        <v>8500</v>
      </c>
      <c r="E9" s="97" t="n">
        <v>8500</v>
      </c>
      <c r="F9" s="97" t="n">
        <v>8500</v>
      </c>
      <c r="G9" s="97" t="n">
        <v>8500</v>
      </c>
      <c r="H9" s="97" t="n">
        <v>8500</v>
      </c>
      <c r="I9" s="97" t="n">
        <v>8500</v>
      </c>
      <c r="J9" s="97" t="n">
        <v>8500</v>
      </c>
      <c r="K9" s="97" t="n">
        <v>8500</v>
      </c>
      <c r="L9" s="97" t="n">
        <v>8500</v>
      </c>
      <c r="M9" s="97" t="n">
        <v>8500</v>
      </c>
      <c r="N9" s="97" t="n">
        <v>8500</v>
      </c>
      <c r="O9" s="94">
        <f>SUM(C9:N9)</f>
        <v/>
      </c>
    </row>
    <row r="10" ht="15" customHeight="1" s="66">
      <c r="A10" s="91" t="inlineStr">
        <is>
          <t>Marketing &amp; Ads</t>
        </is>
      </c>
      <c r="B10" s="92" t="inlineStr">
        <is>
          <t>Expenses</t>
        </is>
      </c>
      <c r="C10" s="93" t="n">
        <v>15000</v>
      </c>
      <c r="D10" s="93" t="n">
        <v>12000</v>
      </c>
      <c r="E10" s="93" t="n">
        <v>16000</v>
      </c>
      <c r="F10" s="93" t="n">
        <v>20000</v>
      </c>
      <c r="G10" s="93" t="n">
        <v>15000</v>
      </c>
      <c r="H10" s="93" t="n">
        <v>22000</v>
      </c>
      <c r="I10" s="93" t="n">
        <v>18000</v>
      </c>
      <c r="J10" s="93" t="n">
        <v>13000</v>
      </c>
      <c r="K10" s="93" t="n">
        <v>20000</v>
      </c>
      <c r="L10" s="93" t="n">
        <v>24000</v>
      </c>
      <c r="M10" s="93" t="n">
        <v>27000</v>
      </c>
      <c r="N10" s="93" t="n">
        <v>30000</v>
      </c>
      <c r="O10" s="94">
        <f>SUM(C10:N10)</f>
        <v/>
      </c>
    </row>
    <row r="11" ht="15" customHeight="1" s="66">
      <c r="A11" s="95" t="inlineStr">
        <is>
          <t>Software &amp; Tools</t>
        </is>
      </c>
      <c r="B11" s="96" t="inlineStr">
        <is>
          <t>Expenses</t>
        </is>
      </c>
      <c r="C11" s="97" t="n">
        <v>3200</v>
      </c>
      <c r="D11" s="97" t="n">
        <v>3200</v>
      </c>
      <c r="E11" s="97" t="n">
        <v>3200</v>
      </c>
      <c r="F11" s="97" t="n">
        <v>3200</v>
      </c>
      <c r="G11" s="97" t="n">
        <v>3200</v>
      </c>
      <c r="H11" s="97" t="n">
        <v>3200</v>
      </c>
      <c r="I11" s="97" t="n">
        <v>3200</v>
      </c>
      <c r="J11" s="97" t="n">
        <v>3200</v>
      </c>
      <c r="K11" s="97" t="n">
        <v>3200</v>
      </c>
      <c r="L11" s="97" t="n">
        <v>3200</v>
      </c>
      <c r="M11" s="97" t="n">
        <v>3200</v>
      </c>
      <c r="N11" s="97" t="n">
        <v>3200</v>
      </c>
      <c r="O11" s="94">
        <f>SUM(C11:N11)</f>
        <v/>
      </c>
    </row>
    <row r="12" ht="15" customHeight="1" s="66">
      <c r="A12" s="91" t="inlineStr">
        <is>
          <t>Travel &amp; Entertainment</t>
        </is>
      </c>
      <c r="B12" s="92" t="inlineStr">
        <is>
          <t>Expenses</t>
        </is>
      </c>
      <c r="C12" s="93" t="n">
        <v>2500</v>
      </c>
      <c r="D12" s="93" t="n">
        <v>2500</v>
      </c>
      <c r="E12" s="93" t="n">
        <v>2500</v>
      </c>
      <c r="F12" s="93" t="n">
        <v>2500</v>
      </c>
      <c r="G12" s="93" t="n">
        <v>2500</v>
      </c>
      <c r="H12" s="93" t="n">
        <v>2500</v>
      </c>
      <c r="I12" s="93" t="n">
        <v>2500</v>
      </c>
      <c r="J12" s="93" t="n">
        <v>2500</v>
      </c>
      <c r="K12" s="93" t="n">
        <v>2500</v>
      </c>
      <c r="L12" s="93" t="n">
        <v>2500</v>
      </c>
      <c r="M12" s="93" t="n">
        <v>2500</v>
      </c>
      <c r="N12" s="93" t="n">
        <v>2500</v>
      </c>
      <c r="O12" s="94">
        <f>SUM(C12:N12)</f>
        <v/>
      </c>
    </row>
    <row r="13" ht="15" customHeight="1" s="66">
      <c r="A13" s="95" t="inlineStr">
        <is>
          <t>Office Supplies</t>
        </is>
      </c>
      <c r="B13" s="96" t="inlineStr">
        <is>
          <t>Expenses</t>
        </is>
      </c>
      <c r="C13" s="97" t="n">
        <v>1000</v>
      </c>
      <c r="D13" s="97" t="n">
        <v>1000</v>
      </c>
      <c r="E13" s="97" t="n">
        <v>1000</v>
      </c>
      <c r="F13" s="97" t="n">
        <v>1000</v>
      </c>
      <c r="G13" s="97" t="n">
        <v>1000</v>
      </c>
      <c r="H13" s="97" t="n">
        <v>1000</v>
      </c>
      <c r="I13" s="97" t="n">
        <v>1000</v>
      </c>
      <c r="J13" s="97" t="n">
        <v>1000</v>
      </c>
      <c r="K13" s="97" t="n">
        <v>1000</v>
      </c>
      <c r="L13" s="97" t="n">
        <v>1000</v>
      </c>
      <c r="M13" s="97" t="n">
        <v>1000</v>
      </c>
      <c r="N13" s="97" t="n">
        <v>1000</v>
      </c>
      <c r="O13" s="94">
        <f>SUM(C13:N13)</f>
        <v/>
      </c>
    </row>
    <row r="14" ht="15" customHeight="1" s="66">
      <c r="A14" s="91" t="inlineStr">
        <is>
          <t>Professional Services</t>
        </is>
      </c>
      <c r="B14" s="92" t="inlineStr">
        <is>
          <t>Expenses</t>
        </is>
      </c>
      <c r="C14" s="93" t="n">
        <v>5000</v>
      </c>
      <c r="D14" s="93" t="n">
        <v>5000</v>
      </c>
      <c r="E14" s="93" t="n">
        <v>5000</v>
      </c>
      <c r="F14" s="93" t="n">
        <v>5000</v>
      </c>
      <c r="G14" s="93" t="n">
        <v>5000</v>
      </c>
      <c r="H14" s="93" t="n">
        <v>5000</v>
      </c>
      <c r="I14" s="93" t="n">
        <v>5000</v>
      </c>
      <c r="J14" s="93" t="n">
        <v>5000</v>
      </c>
      <c r="K14" s="93" t="n">
        <v>5000</v>
      </c>
      <c r="L14" s="93" t="n">
        <v>5000</v>
      </c>
      <c r="M14" s="93" t="n">
        <v>5000</v>
      </c>
      <c r="N14" s="93" t="n">
        <v>5000</v>
      </c>
      <c r="O14" s="94">
        <f>SUM(C14:N14)</f>
        <v/>
      </c>
    </row>
    <row r="15" ht="15" customHeight="1" s="66">
      <c r="A15" s="95" t="inlineStr">
        <is>
          <t>R&amp;D / Training</t>
        </is>
      </c>
      <c r="B15" s="96" t="inlineStr">
        <is>
          <t>Expenses</t>
        </is>
      </c>
      <c r="C15" s="97" t="n">
        <v>3500</v>
      </c>
      <c r="D15" s="97" t="n">
        <v>3500</v>
      </c>
      <c r="E15" s="97" t="n">
        <v>3500</v>
      </c>
      <c r="F15" s="97" t="n">
        <v>3500</v>
      </c>
      <c r="G15" s="97" t="n">
        <v>3500</v>
      </c>
      <c r="H15" s="97" t="n">
        <v>3500</v>
      </c>
      <c r="I15" s="97" t="n">
        <v>3500</v>
      </c>
      <c r="J15" s="97" t="n">
        <v>3500</v>
      </c>
      <c r="K15" s="97" t="n">
        <v>3500</v>
      </c>
      <c r="L15" s="97" t="n">
        <v>3500</v>
      </c>
      <c r="M15" s="97" t="n">
        <v>3500</v>
      </c>
      <c r="N15" s="97" t="n">
        <v>3500</v>
      </c>
      <c r="O15" s="94">
        <f>SUM(C15:N15)</f>
        <v/>
      </c>
    </row>
    <row r="16" ht="15" customHeight="1" s="66">
      <c r="A16" s="91" t="inlineStr">
        <is>
          <t>Miscellaneous</t>
        </is>
      </c>
      <c r="B16" s="92" t="inlineStr">
        <is>
          <t>Expenses</t>
        </is>
      </c>
      <c r="C16" s="93" t="n">
        <v>1500</v>
      </c>
      <c r="D16" s="93" t="n">
        <v>1500</v>
      </c>
      <c r="E16" s="93" t="n">
        <v>1500</v>
      </c>
      <c r="F16" s="93" t="n">
        <v>1500</v>
      </c>
      <c r="G16" s="93" t="n">
        <v>1500</v>
      </c>
      <c r="H16" s="93" t="n">
        <v>1500</v>
      </c>
      <c r="I16" s="93" t="n">
        <v>1500</v>
      </c>
      <c r="J16" s="93" t="n">
        <v>1500</v>
      </c>
      <c r="K16" s="93" t="n">
        <v>1500</v>
      </c>
      <c r="L16" s="93" t="n">
        <v>1500</v>
      </c>
      <c r="M16" s="93" t="n">
        <v>1500</v>
      </c>
      <c r="N16" s="93" t="n">
        <v>1500</v>
      </c>
      <c r="O16" s="94">
        <f>SUM(C16:N16)</f>
        <v/>
      </c>
    </row>
  </sheetData>
  <mergeCells count="3">
    <mergeCell ref="A1:O1"/>
    <mergeCell ref="A7:O7"/>
    <mergeCell ref="A3:O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77B6"/>
    <outlinePr summaryBelow="1" summaryRight="1"/>
    <pageSetUpPr fitToPage="0"/>
  </sheetPr>
  <dimension ref="A1: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65" min="1" max="1"/>
    <col width="26" customWidth="1" style="65" min="2" max="2"/>
    <col width="14" customWidth="1" style="65" min="3" max="5"/>
    <col width="12" customWidth="1" style="65" min="6" max="6"/>
    <col width="14" customWidth="1" style="65" min="7" max="8"/>
    <col width="12" customWidth="1" style="65" min="9" max="12"/>
    <col width="14" customWidth="1" style="65" min="13" max="13"/>
    <col width="4" customWidth="1" style="65" min="14" max="14"/>
  </cols>
  <sheetData>
    <row r="1" ht="27.75" customHeight="1" s="66">
      <c r="A1" s="88" t="inlineStr">
        <is>
          <t>BUDGET vs ACTUAL VARIANCE ANALYSIS  |  2026  |  Full Item-by-Item Breakdown</t>
        </is>
      </c>
    </row>
    <row r="2" ht="19.5" customHeight="1" s="66">
      <c r="A2" s="73" t="n"/>
      <c r="B2" s="73" t="inlineStr">
        <is>
          <t>Line Item</t>
        </is>
      </c>
      <c r="C2" s="73" t="inlineStr">
        <is>
          <t>Budgeted (Annual)</t>
        </is>
      </c>
      <c r="D2" s="73" t="inlineStr">
        <is>
          <t>Actual (Annual)</t>
        </is>
      </c>
      <c r="E2" s="73" t="inlineStr">
        <is>
          <t>$ Variance</t>
        </is>
      </c>
      <c r="F2" s="73" t="inlineStr">
        <is>
          <t>% Variance</t>
        </is>
      </c>
      <c r="G2" s="73" t="inlineStr">
        <is>
          <t>Q1 Budget</t>
        </is>
      </c>
      <c r="H2" s="73" t="inlineStr">
        <is>
          <t>Q1 Actual</t>
        </is>
      </c>
      <c r="I2" s="73" t="inlineStr">
        <is>
          <t>Q2 Budget</t>
        </is>
      </c>
      <c r="J2" s="73" t="inlineStr">
        <is>
          <t>Q2 Actual</t>
        </is>
      </c>
      <c r="K2" s="73" t="inlineStr">
        <is>
          <t>Q3 Budget</t>
        </is>
      </c>
      <c r="L2" s="73" t="inlineStr">
        <is>
          <t>Q3 Actual</t>
        </is>
      </c>
      <c r="M2" s="73" t="inlineStr">
        <is>
          <t>Status</t>
        </is>
      </c>
      <c r="N2" s="73" t="n"/>
    </row>
    <row r="3" ht="18.75" customHeight="1" s="66">
      <c r="A3" s="90" t="inlineStr">
        <is>
          <t>── REVENUE ──</t>
        </is>
      </c>
    </row>
    <row r="4" ht="18.75" customHeight="1" s="66">
      <c r="A4" s="105" t="n"/>
      <c r="B4" s="84" t="inlineStr">
        <is>
          <t>Product Sales</t>
        </is>
      </c>
      <c r="C4" s="76">
        <f>SUM('🎯 Budget Targets'!C4:N4)</f>
        <v/>
      </c>
      <c r="D4" s="76">
        <f>'💰 Budget Data'!O4</f>
        <v/>
      </c>
      <c r="E4" s="76">
        <f>D4-C4</f>
        <v/>
      </c>
      <c r="F4" s="77">
        <f>IFERROR(E4/ABS(C4),0)</f>
        <v/>
      </c>
      <c r="G4" s="76">
        <f>SUM('🎯 Budget Targets'!C4:E4)</f>
        <v/>
      </c>
      <c r="H4" s="76">
        <f>SUM('💰 Budget Data'!C4:E4)</f>
        <v/>
      </c>
      <c r="I4" s="76">
        <f>SUM('🎯 Budget Targets'!F4:H4)</f>
        <v/>
      </c>
      <c r="J4" s="76">
        <f>SUM('💰 Budget Data'!F4:H4)</f>
        <v/>
      </c>
      <c r="K4" s="76">
        <f>SUM('🎯 Budget Targets'!I4:K4)</f>
        <v/>
      </c>
      <c r="L4" s="76">
        <f>SUM('💰 Budget Data'!I4:K4)</f>
        <v/>
      </c>
      <c r="M4" s="85">
        <f>IF(D4&gt;=C4,"✅ On Target",IF(ABS(F4)&lt;0.1,"⚠️ Near Target","❌ Off Target"))</f>
        <v/>
      </c>
      <c r="N4" s="105" t="n"/>
    </row>
    <row r="5" ht="18.75" customHeight="1" s="66">
      <c r="A5" s="106" t="n"/>
      <c r="B5" s="86" t="inlineStr">
        <is>
          <t>Service Revenue</t>
        </is>
      </c>
      <c r="C5" s="79">
        <f>SUM('🎯 Budget Targets'!C5:N5)</f>
        <v/>
      </c>
      <c r="D5" s="79">
        <f>'💰 Budget Data'!O5</f>
        <v/>
      </c>
      <c r="E5" s="79">
        <f>D5-C5</f>
        <v/>
      </c>
      <c r="F5" s="80">
        <f>IFERROR(E5/ABS(C5),0)</f>
        <v/>
      </c>
      <c r="G5" s="79">
        <f>SUM('🎯 Budget Targets'!C5:E5)</f>
        <v/>
      </c>
      <c r="H5" s="79">
        <f>SUM('💰 Budget Data'!C5:E5)</f>
        <v/>
      </c>
      <c r="I5" s="79">
        <f>SUM('🎯 Budget Targets'!F5:H5)</f>
        <v/>
      </c>
      <c r="J5" s="79">
        <f>SUM('💰 Budget Data'!F5:H5)</f>
        <v/>
      </c>
      <c r="K5" s="79">
        <f>SUM('🎯 Budget Targets'!I5:K5)</f>
        <v/>
      </c>
      <c r="L5" s="79">
        <f>SUM('💰 Budget Data'!I5:K5)</f>
        <v/>
      </c>
      <c r="M5" s="87">
        <f>IF(D5&gt;=C5,"✅ On Target",IF(ABS(F5)&lt;0.1,"⚠️ Near Target","❌ Off Target"))</f>
        <v/>
      </c>
      <c r="N5" s="106" t="n"/>
    </row>
    <row r="6" ht="18.75" customHeight="1" s="66">
      <c r="A6" s="105" t="n"/>
      <c r="B6" s="84" t="inlineStr">
        <is>
          <t>Other Income</t>
        </is>
      </c>
      <c r="C6" s="76">
        <f>SUM('🎯 Budget Targets'!C6:N6)</f>
        <v/>
      </c>
      <c r="D6" s="76">
        <f>'💰 Budget Data'!O6</f>
        <v/>
      </c>
      <c r="E6" s="76">
        <f>D6-C6</f>
        <v/>
      </c>
      <c r="F6" s="77">
        <f>IFERROR(E6/ABS(C6),0)</f>
        <v/>
      </c>
      <c r="G6" s="76">
        <f>SUM('🎯 Budget Targets'!C6:E6)</f>
        <v/>
      </c>
      <c r="H6" s="76">
        <f>SUM('💰 Budget Data'!C6:E6)</f>
        <v/>
      </c>
      <c r="I6" s="76">
        <f>SUM('🎯 Budget Targets'!F6:H6)</f>
        <v/>
      </c>
      <c r="J6" s="76">
        <f>SUM('💰 Budget Data'!F6:H6)</f>
        <v/>
      </c>
      <c r="K6" s="76">
        <f>SUM('🎯 Budget Targets'!I6:K6)</f>
        <v/>
      </c>
      <c r="L6" s="76">
        <f>SUM('💰 Budget Data'!I6:K6)</f>
        <v/>
      </c>
      <c r="M6" s="85">
        <f>IF(D6&gt;=C6,"✅ On Target",IF(ABS(F6)&lt;0.1,"⚠️ Near Target","❌ Off Target"))</f>
        <v/>
      </c>
      <c r="N6" s="105" t="n"/>
    </row>
    <row r="7" ht="18.75" customHeight="1" s="66">
      <c r="A7" s="74" t="n"/>
      <c r="B7" s="107" t="inlineStr">
        <is>
          <t>TOTAL REVENUE</t>
        </is>
      </c>
      <c r="C7" s="108">
        <f>SUM('🎯 Budget Targets'!C4:N4)+SUM('🎯 Budget Targets'!C5:N5)+SUM('🎯 Budget Targets'!C6:N6)</f>
        <v/>
      </c>
      <c r="D7" s="108">
        <f>'💰 Budget Data'!O17</f>
        <v/>
      </c>
      <c r="E7" s="108">
        <f>D7-C7</f>
        <v/>
      </c>
      <c r="F7" s="109">
        <f>IFERROR(E7/ABS(C7),0)</f>
        <v/>
      </c>
      <c r="G7" s="108">
        <f>SUM('🎯 Budget Targets'!C4:E4)+SUM('🎯 Budget Targets'!C5:E5)+SUM('🎯 Budget Targets'!C6:E6)</f>
        <v/>
      </c>
      <c r="H7" s="108">
        <f>SUM('💰 Budget Data'!C17:E17)</f>
        <v/>
      </c>
      <c r="I7" s="108">
        <f>SUM('🎯 Budget Targets'!F4:H4)+SUM('🎯 Budget Targets'!F5:H5)+SUM('🎯 Budget Targets'!F6:H6)</f>
        <v/>
      </c>
      <c r="J7" s="108">
        <f>SUM('💰 Budget Data'!F17:H17)</f>
        <v/>
      </c>
      <c r="K7" s="108">
        <f>SUM('🎯 Budget Targets'!I4:K4)+SUM('🎯 Budget Targets'!I5:K5)+SUM('🎯 Budget Targets'!I6:K6)</f>
        <v/>
      </c>
      <c r="L7" s="108">
        <f>SUM('💰 Budget Data'!I17:K17)</f>
        <v/>
      </c>
      <c r="M7" s="110">
        <f>IF(D7&gt;=C7,"✅ On Target",IF(ABS(F7)&lt;0.1,"⚠️ Near Target","❌ Off Target"))</f>
        <v/>
      </c>
      <c r="N7" s="74" t="n"/>
    </row>
    <row r="8" ht="18.75" customHeight="1" s="66">
      <c r="A8" s="90" t="inlineStr">
        <is>
          <t>── EXPENSES ──</t>
        </is>
      </c>
    </row>
    <row r="9" ht="18.75" customHeight="1" s="66">
      <c r="A9" s="106" t="n"/>
      <c r="B9" s="86" t="inlineStr">
        <is>
          <t>Salaries &amp; Wages</t>
        </is>
      </c>
      <c r="C9" s="79">
        <f>SUM('🎯 Budget Targets'!C9:N9)</f>
        <v/>
      </c>
      <c r="D9" s="79">
        <f>'💰 Budget Data'!O8</f>
        <v/>
      </c>
      <c r="E9" s="79">
        <f>D9-C9</f>
        <v/>
      </c>
      <c r="F9" s="80">
        <f>IFERROR(E9/ABS(C9),0)</f>
        <v/>
      </c>
      <c r="G9" s="79">
        <f>SUM('🎯 Budget Targets'!C9:E9)</f>
        <v/>
      </c>
      <c r="H9" s="79">
        <f>SUM('💰 Budget Data'!C8:E8)</f>
        <v/>
      </c>
      <c r="I9" s="79">
        <f>SUM('🎯 Budget Targets'!F9:H9)</f>
        <v/>
      </c>
      <c r="J9" s="79">
        <f>SUM('💰 Budget Data'!F8:H8)</f>
        <v/>
      </c>
      <c r="K9" s="79">
        <f>SUM('🎯 Budget Targets'!I9:K9)</f>
        <v/>
      </c>
      <c r="L9" s="79">
        <f>SUM('💰 Budget Data'!I8:K8)</f>
        <v/>
      </c>
      <c r="M9" s="87">
        <f>IF(D9&gt;=C9,"✅ On Target",IF(ABS(F9)&lt;0.1,"⚠️ Near Target","❌ Off Target"))</f>
        <v/>
      </c>
      <c r="N9" s="106" t="n"/>
    </row>
    <row r="10" ht="18.75" customHeight="1" s="66">
      <c r="A10" s="105" t="n"/>
      <c r="B10" s="84" t="inlineStr">
        <is>
          <t>Rent &amp; Utilities</t>
        </is>
      </c>
      <c r="C10" s="76">
        <f>SUM('🎯 Budget Targets'!C10:N10)</f>
        <v/>
      </c>
      <c r="D10" s="76">
        <f>'💰 Budget Data'!O9</f>
        <v/>
      </c>
      <c r="E10" s="76">
        <f>D10-C10</f>
        <v/>
      </c>
      <c r="F10" s="77">
        <f>IFERROR(E10/ABS(C10),0)</f>
        <v/>
      </c>
      <c r="G10" s="76">
        <f>SUM('🎯 Budget Targets'!C10:E10)</f>
        <v/>
      </c>
      <c r="H10" s="76">
        <f>SUM('💰 Budget Data'!C9:E9)</f>
        <v/>
      </c>
      <c r="I10" s="76">
        <f>SUM('🎯 Budget Targets'!F10:H10)</f>
        <v/>
      </c>
      <c r="J10" s="76">
        <f>SUM('💰 Budget Data'!F9:H9)</f>
        <v/>
      </c>
      <c r="K10" s="76">
        <f>SUM('🎯 Budget Targets'!I10:K10)</f>
        <v/>
      </c>
      <c r="L10" s="76">
        <f>SUM('💰 Budget Data'!I9:K9)</f>
        <v/>
      </c>
      <c r="M10" s="85">
        <f>IF(D10&gt;=C10,"✅ On Target",IF(ABS(F10)&lt;0.1,"⚠️ Near Target","❌ Off Target"))</f>
        <v/>
      </c>
      <c r="N10" s="105" t="n"/>
    </row>
    <row r="11" ht="18.75" customHeight="1" s="66">
      <c r="A11" s="106" t="n"/>
      <c r="B11" s="86" t="inlineStr">
        <is>
          <t>Marketing &amp; Ads</t>
        </is>
      </c>
      <c r="C11" s="79">
        <f>SUM('🎯 Budget Targets'!C11:N11)</f>
        <v/>
      </c>
      <c r="D11" s="79">
        <f>'💰 Budget Data'!O10</f>
        <v/>
      </c>
      <c r="E11" s="79">
        <f>D11-C11</f>
        <v/>
      </c>
      <c r="F11" s="80">
        <f>IFERROR(E11/ABS(C11),0)</f>
        <v/>
      </c>
      <c r="G11" s="79">
        <f>SUM('🎯 Budget Targets'!C11:E11)</f>
        <v/>
      </c>
      <c r="H11" s="79">
        <f>SUM('💰 Budget Data'!C10:E10)</f>
        <v/>
      </c>
      <c r="I11" s="79">
        <f>SUM('🎯 Budget Targets'!F11:H11)</f>
        <v/>
      </c>
      <c r="J11" s="79">
        <f>SUM('💰 Budget Data'!F10:H10)</f>
        <v/>
      </c>
      <c r="K11" s="79">
        <f>SUM('🎯 Budget Targets'!I11:K11)</f>
        <v/>
      </c>
      <c r="L11" s="79">
        <f>SUM('💰 Budget Data'!I10:K10)</f>
        <v/>
      </c>
      <c r="M11" s="87">
        <f>IF(D11&gt;=C11,"✅ On Target",IF(ABS(F11)&lt;0.1,"⚠️ Near Target","❌ Off Target"))</f>
        <v/>
      </c>
      <c r="N11" s="106" t="n"/>
    </row>
    <row r="12" ht="18.75" customHeight="1" s="66">
      <c r="A12" s="105" t="n"/>
      <c r="B12" s="84" t="inlineStr">
        <is>
          <t>Software &amp; Tools</t>
        </is>
      </c>
      <c r="C12" s="76">
        <f>SUM('🎯 Budget Targets'!C12:N12)</f>
        <v/>
      </c>
      <c r="D12" s="76">
        <f>'💰 Budget Data'!O11</f>
        <v/>
      </c>
      <c r="E12" s="76">
        <f>D12-C12</f>
        <v/>
      </c>
      <c r="F12" s="77">
        <f>IFERROR(E12/ABS(C12),0)</f>
        <v/>
      </c>
      <c r="G12" s="76">
        <f>SUM('🎯 Budget Targets'!C12:E12)</f>
        <v/>
      </c>
      <c r="H12" s="76">
        <f>SUM('💰 Budget Data'!C11:E11)</f>
        <v/>
      </c>
      <c r="I12" s="76">
        <f>SUM('🎯 Budget Targets'!F12:H12)</f>
        <v/>
      </c>
      <c r="J12" s="76">
        <f>SUM('💰 Budget Data'!F11:H11)</f>
        <v/>
      </c>
      <c r="K12" s="76">
        <f>SUM('🎯 Budget Targets'!I12:K12)</f>
        <v/>
      </c>
      <c r="L12" s="76">
        <f>SUM('💰 Budget Data'!I11:K11)</f>
        <v/>
      </c>
      <c r="M12" s="85">
        <f>IF(D12&gt;=C12,"✅ On Target",IF(ABS(F12)&lt;0.1,"⚠️ Near Target","❌ Off Target"))</f>
        <v/>
      </c>
      <c r="N12" s="105" t="n"/>
    </row>
    <row r="13" ht="18.75" customHeight="1" s="66">
      <c r="A13" s="106" t="n"/>
      <c r="B13" s="86" t="inlineStr">
        <is>
          <t>Travel &amp; Entertainment</t>
        </is>
      </c>
      <c r="C13" s="79">
        <f>SUM('🎯 Budget Targets'!C13:N13)</f>
        <v/>
      </c>
      <c r="D13" s="79">
        <f>'💰 Budget Data'!O12</f>
        <v/>
      </c>
      <c r="E13" s="79">
        <f>D13-C13</f>
        <v/>
      </c>
      <c r="F13" s="80">
        <f>IFERROR(E13/ABS(C13),0)</f>
        <v/>
      </c>
      <c r="G13" s="79">
        <f>SUM('🎯 Budget Targets'!C13:E13)</f>
        <v/>
      </c>
      <c r="H13" s="79">
        <f>SUM('💰 Budget Data'!C12:E12)</f>
        <v/>
      </c>
      <c r="I13" s="79">
        <f>SUM('🎯 Budget Targets'!F13:H13)</f>
        <v/>
      </c>
      <c r="J13" s="79">
        <f>SUM('💰 Budget Data'!F12:H12)</f>
        <v/>
      </c>
      <c r="K13" s="79">
        <f>SUM('🎯 Budget Targets'!I13:K13)</f>
        <v/>
      </c>
      <c r="L13" s="79">
        <f>SUM('💰 Budget Data'!I12:K12)</f>
        <v/>
      </c>
      <c r="M13" s="87">
        <f>IF(D13&gt;=C13,"✅ On Target",IF(ABS(F13)&lt;0.1,"⚠️ Near Target","❌ Off Target"))</f>
        <v/>
      </c>
      <c r="N13" s="106" t="n"/>
    </row>
    <row r="14" ht="18.75" customHeight="1" s="66">
      <c r="A14" s="105" t="n"/>
      <c r="B14" s="84" t="inlineStr">
        <is>
          <t>Office Supplies</t>
        </is>
      </c>
      <c r="C14" s="76">
        <f>SUM('🎯 Budget Targets'!C14:N14)</f>
        <v/>
      </c>
      <c r="D14" s="76">
        <f>'💰 Budget Data'!O13</f>
        <v/>
      </c>
      <c r="E14" s="76">
        <f>D14-C14</f>
        <v/>
      </c>
      <c r="F14" s="77">
        <f>IFERROR(E14/ABS(C14),0)</f>
        <v/>
      </c>
      <c r="G14" s="76">
        <f>SUM('🎯 Budget Targets'!C14:E14)</f>
        <v/>
      </c>
      <c r="H14" s="76">
        <f>SUM('💰 Budget Data'!C13:E13)</f>
        <v/>
      </c>
      <c r="I14" s="76">
        <f>SUM('🎯 Budget Targets'!F14:H14)</f>
        <v/>
      </c>
      <c r="J14" s="76">
        <f>SUM('💰 Budget Data'!F13:H13)</f>
        <v/>
      </c>
      <c r="K14" s="76">
        <f>SUM('🎯 Budget Targets'!I14:K14)</f>
        <v/>
      </c>
      <c r="L14" s="76">
        <f>SUM('💰 Budget Data'!I13:K13)</f>
        <v/>
      </c>
      <c r="M14" s="85">
        <f>IF(D14&gt;=C14,"✅ On Target",IF(ABS(F14)&lt;0.1,"⚠️ Near Target","❌ Off Target"))</f>
        <v/>
      </c>
      <c r="N14" s="105" t="n"/>
    </row>
    <row r="15" ht="18.75" customHeight="1" s="66">
      <c r="A15" s="106" t="n"/>
      <c r="B15" s="86" t="inlineStr">
        <is>
          <t>Professional Services</t>
        </is>
      </c>
      <c r="C15" s="79">
        <f>SUM('🎯 Budget Targets'!C15:N15)</f>
        <v/>
      </c>
      <c r="D15" s="79">
        <f>'💰 Budget Data'!O14</f>
        <v/>
      </c>
      <c r="E15" s="79">
        <f>D15-C15</f>
        <v/>
      </c>
      <c r="F15" s="80">
        <f>IFERROR(E15/ABS(C15),0)</f>
        <v/>
      </c>
      <c r="G15" s="79">
        <f>SUM('🎯 Budget Targets'!C15:E15)</f>
        <v/>
      </c>
      <c r="H15" s="79">
        <f>SUM('💰 Budget Data'!C14:E14)</f>
        <v/>
      </c>
      <c r="I15" s="79">
        <f>SUM('🎯 Budget Targets'!F15:H15)</f>
        <v/>
      </c>
      <c r="J15" s="79">
        <f>SUM('💰 Budget Data'!F14:H14)</f>
        <v/>
      </c>
      <c r="K15" s="79">
        <f>SUM('🎯 Budget Targets'!I15:K15)</f>
        <v/>
      </c>
      <c r="L15" s="79">
        <f>SUM('💰 Budget Data'!I14:K14)</f>
        <v/>
      </c>
      <c r="M15" s="87">
        <f>IF(D15&gt;=C15,"✅ On Target",IF(ABS(F15)&lt;0.1,"⚠️ Near Target","❌ Off Target"))</f>
        <v/>
      </c>
      <c r="N15" s="106" t="n"/>
    </row>
    <row r="16" ht="18.75" customHeight="1" s="66">
      <c r="A16" s="105" t="n"/>
      <c r="B16" s="84" t="inlineStr">
        <is>
          <t>R&amp;D / Training</t>
        </is>
      </c>
      <c r="C16" s="76">
        <f>SUM('🎯 Budget Targets'!C16:N16)</f>
        <v/>
      </c>
      <c r="D16" s="76">
        <f>'💰 Budget Data'!O15</f>
        <v/>
      </c>
      <c r="E16" s="76">
        <f>D16-C16</f>
        <v/>
      </c>
      <c r="F16" s="77">
        <f>IFERROR(E16/ABS(C16),0)</f>
        <v/>
      </c>
      <c r="G16" s="76">
        <f>SUM('🎯 Budget Targets'!C16:E16)</f>
        <v/>
      </c>
      <c r="H16" s="76">
        <f>SUM('💰 Budget Data'!C15:E15)</f>
        <v/>
      </c>
      <c r="I16" s="76">
        <f>SUM('🎯 Budget Targets'!F16:H16)</f>
        <v/>
      </c>
      <c r="J16" s="76">
        <f>SUM('💰 Budget Data'!F15:H15)</f>
        <v/>
      </c>
      <c r="K16" s="76">
        <f>SUM('🎯 Budget Targets'!I16:K16)</f>
        <v/>
      </c>
      <c r="L16" s="76">
        <f>SUM('💰 Budget Data'!I15:K15)</f>
        <v/>
      </c>
      <c r="M16" s="85">
        <f>IF(D16&gt;=C16,"✅ On Target",IF(ABS(F16)&lt;0.1,"⚠️ Near Target","❌ Off Target"))</f>
        <v/>
      </c>
      <c r="N16" s="105" t="n"/>
    </row>
    <row r="17" ht="18.75" customHeight="1" s="66">
      <c r="A17" s="106" t="n"/>
      <c r="B17" s="86" t="inlineStr">
        <is>
          <t>Miscellaneous</t>
        </is>
      </c>
      <c r="C17" s="79">
        <f>SUM('🎯 Budget Targets'!C17:N17)</f>
        <v/>
      </c>
      <c r="D17" s="79">
        <f>'💰 Budget Data'!O16</f>
        <v/>
      </c>
      <c r="E17" s="79">
        <f>D17-C17</f>
        <v/>
      </c>
      <c r="F17" s="80">
        <f>IFERROR(E17/ABS(C17),0)</f>
        <v/>
      </c>
      <c r="G17" s="79">
        <f>SUM('🎯 Budget Targets'!C17:E17)</f>
        <v/>
      </c>
      <c r="H17" s="79">
        <f>SUM('💰 Budget Data'!C16:E16)</f>
        <v/>
      </c>
      <c r="I17" s="79">
        <f>SUM('🎯 Budget Targets'!F17:H17)</f>
        <v/>
      </c>
      <c r="J17" s="79">
        <f>SUM('💰 Budget Data'!F16:H16)</f>
        <v/>
      </c>
      <c r="K17" s="79">
        <f>SUM('🎯 Budget Targets'!I17:K17)</f>
        <v/>
      </c>
      <c r="L17" s="79">
        <f>SUM('💰 Budget Data'!I16:K16)</f>
        <v/>
      </c>
      <c r="M17" s="87">
        <f>IF(D17&gt;=C17,"✅ On Target",IF(ABS(F17)&lt;0.1,"⚠️ Near Target","❌ Off Target"))</f>
        <v/>
      </c>
      <c r="N17" s="106" t="n"/>
    </row>
    <row r="18" ht="18.75" customHeight="1" s="66">
      <c r="A18" s="74" t="n"/>
      <c r="B18" s="111" t="inlineStr">
        <is>
          <t>TOTAL EXPENSES</t>
        </is>
      </c>
      <c r="C18" s="112">
        <f>SUM('🎯 Budget Targets'!C9:N9)+SUM('🎯 Budget Targets'!C10:N10)+SUM('🎯 Budget Targets'!C11:N11)+SUM('🎯 Budget Targets'!C12:N12)+SUM('🎯 Budget Targets'!C13:N13)+SUM('🎯 Budget Targets'!C14:N14)+SUM('🎯 Budget Targets'!C15:N15)+SUM('🎯 Budget Targets'!C16:N16)+SUM('🎯 Budget Targets'!C17:N17)</f>
        <v/>
      </c>
      <c r="D18" s="112">
        <f>'💰 Budget Data'!O18</f>
        <v/>
      </c>
      <c r="E18" s="112">
        <f>D18-C18</f>
        <v/>
      </c>
      <c r="F18" s="113">
        <f>IFERROR(E18/ABS(C18),0)</f>
        <v/>
      </c>
      <c r="G18" s="112">
        <f>SUM('🎯 Budget Targets'!C9:E9)+SUM('🎯 Budget Targets'!C10:E10)+SUM('🎯 Budget Targets'!C11:E11)+SUM('🎯 Budget Targets'!C12:E12)+SUM('🎯 Budget Targets'!C13:E13)+SUM('🎯 Budget Targets'!C14:E14)+SUM('🎯 Budget Targets'!C15:E15)+SUM('🎯 Budget Targets'!C16:E16)+SUM('🎯 Budget Targets'!C17:E17)</f>
        <v/>
      </c>
      <c r="H18" s="112">
        <f>SUM('💰 Budget Data'!C18:E18)</f>
        <v/>
      </c>
      <c r="I18" s="112">
        <f>SUM('🎯 Budget Targets'!F9:H9)+SUM('🎯 Budget Targets'!F10:H10)+SUM('🎯 Budget Targets'!F11:H11)+SUM('🎯 Budget Targets'!F12:H12)+SUM('🎯 Budget Targets'!F13:H13)+SUM('🎯 Budget Targets'!F14:H14)+SUM('🎯 Budget Targets'!F15:H15)+SUM('🎯 Budget Targets'!F16:H16)+SUM('🎯 Budget Targets'!F17:H17)</f>
        <v/>
      </c>
      <c r="J18" s="112">
        <f>SUM('💰 Budget Data'!F18:H18)</f>
        <v/>
      </c>
      <c r="K18" s="112">
        <f>SUM('🎯 Budget Targets'!I9:K9)+SUM('🎯 Budget Targets'!I10:K10)+SUM('🎯 Budget Targets'!I11:K11)+SUM('🎯 Budget Targets'!I12:K12)+SUM('🎯 Budget Targets'!I13:K13)+SUM('🎯 Budget Targets'!I14:K14)+SUM('🎯 Budget Targets'!I15:K15)+SUM('🎯 Budget Targets'!I16:K16)+SUM('🎯 Budget Targets'!I17:K17)</f>
        <v/>
      </c>
      <c r="L18" s="112">
        <f>SUM('💰 Budget Data'!I18:K18)</f>
        <v/>
      </c>
      <c r="M18" s="114">
        <f>IF(D18&gt;=C18,"✅ On Target",IF(ABS(F18)&lt;0.1,"⚠️ Near Target","❌ Off Target"))</f>
        <v/>
      </c>
      <c r="N18" s="74" t="n"/>
    </row>
    <row r="19" ht="18.75" customHeight="1" s="66">
      <c r="A19" s="74" t="n"/>
      <c r="B19" s="115" t="inlineStr">
        <is>
          <t>NET PROFIT</t>
        </is>
      </c>
      <c r="C19" s="116">
        <f>C9-C18</f>
        <v/>
      </c>
      <c r="D19" s="116">
        <f>'💰 Budget Data'!O19</f>
        <v/>
      </c>
      <c r="E19" s="116">
        <f>D19-C19</f>
        <v/>
      </c>
      <c r="F19" s="117">
        <f>IFERROR(E19/ABS(C19),0)</f>
        <v/>
      </c>
      <c r="G19" s="116">
        <f>G9-G18</f>
        <v/>
      </c>
      <c r="H19" s="116">
        <f>SUM('💰 Budget Data'!C19:E19)</f>
        <v/>
      </c>
      <c r="I19" s="116">
        <f>I9-I18</f>
        <v/>
      </c>
      <c r="J19" s="116">
        <f>SUM('💰 Budget Data'!F19:H19)</f>
        <v/>
      </c>
      <c r="K19" s="116">
        <f>K9-K18</f>
        <v/>
      </c>
      <c r="L19" s="116">
        <f>SUM('💰 Budget Data'!I19:K19)</f>
        <v/>
      </c>
      <c r="M19" s="118">
        <f>IF(D19&gt;=C19,"✅ On Target",IF(ABS(F19)&lt;0.1,"⚠️ Near Target","❌ Off Target"))</f>
        <v/>
      </c>
      <c r="N19" s="74" t="n"/>
    </row>
  </sheetData>
  <mergeCells count="3">
    <mergeCell ref="A8:N8"/>
    <mergeCell ref="A3:N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A2332"/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65" min="1" max="1"/>
    <col width="24" customWidth="1" style="65" min="2" max="2"/>
    <col width="16" customWidth="1" style="65" min="3" max="5"/>
    <col width="4" customWidth="1" style="65" min="6" max="6"/>
  </cols>
  <sheetData>
    <row r="1" ht="31.5" customHeight="1" s="66">
      <c r="A1" s="119" t="inlineStr">
        <is>
          <t>EXECUTIVE BUDGET SUMMARY  |  2026</t>
        </is>
      </c>
    </row>
    <row r="2" ht="7.5" customHeight="1" s="66"/>
    <row r="3" ht="21.75" customHeight="1" s="66">
      <c r="A3" s="120" t="inlineStr">
        <is>
          <t>KEY FINANCIAL METRICS</t>
        </is>
      </c>
    </row>
    <row r="4" ht="19.5" customHeight="1" s="66">
      <c r="A4" s="105" t="n"/>
      <c r="B4" s="84" t="inlineStr">
        <is>
          <t>Total Revenue (Actual)</t>
        </is>
      </c>
      <c r="C4" s="121">
        <f>'💰 Budget Data'!O17</f>
        <v/>
      </c>
      <c r="D4" s="122" t="inlineStr">
        <is>
          <t>vs Budget: compare row 3 of Variance</t>
        </is>
      </c>
      <c r="E4" s="105" t="n"/>
      <c r="F4" s="105" t="n"/>
    </row>
    <row r="5" ht="19.5" customHeight="1" s="66">
      <c r="A5" s="106" t="n"/>
      <c r="B5" s="86" t="inlineStr">
        <is>
          <t>Total Revenue (Budget)</t>
        </is>
      </c>
      <c r="C5" s="123">
        <f>SUM('🎯 Budget Targets'!C4:N4)+SUM('🎯 Budget Targets'!C5:N5)+SUM('🎯 Budget Targets'!C6:N6)</f>
        <v/>
      </c>
      <c r="D5" s="124" t="n"/>
      <c r="E5" s="106" t="n"/>
      <c r="F5" s="106" t="n"/>
    </row>
    <row r="6" ht="19.5" customHeight="1" s="66">
      <c r="A6" s="105" t="n"/>
      <c r="B6" s="84" t="inlineStr">
        <is>
          <t>Total Expenses (Actual)</t>
        </is>
      </c>
      <c r="C6" s="121">
        <f>'💰 Budget Data'!O18</f>
        <v/>
      </c>
      <c r="D6" s="122" t="n"/>
      <c r="E6" s="105" t="n"/>
      <c r="F6" s="105" t="n"/>
    </row>
    <row r="7" ht="19.5" customHeight="1" s="66">
      <c r="A7" s="106" t="n"/>
      <c r="B7" s="86" t="inlineStr">
        <is>
          <t>Net Profit (Actual)</t>
        </is>
      </c>
      <c r="C7" s="123">
        <f>'💰 Budget Data'!O19</f>
        <v/>
      </c>
      <c r="D7" s="124" t="n"/>
      <c r="E7" s="106" t="n"/>
      <c r="F7" s="106" t="n"/>
    </row>
    <row r="8" ht="19.5" customHeight="1" s="66">
      <c r="A8" s="105" t="n"/>
      <c r="B8" s="84" t="inlineStr">
        <is>
          <t>Net Profit Margin</t>
        </is>
      </c>
      <c r="C8" s="125">
        <f>IFERROR('💰 Budget Data'!O19/'💰 Budget Data'!O17,0)</f>
        <v/>
      </c>
      <c r="D8" s="122" t="n"/>
      <c r="E8" s="105" t="n"/>
      <c r="F8" s="105" t="n"/>
    </row>
    <row r="9" ht="19.5" customHeight="1" s="66">
      <c r="A9" s="106" t="n"/>
      <c r="B9" s="86" t="inlineStr">
        <is>
          <t>Best Revenue Month</t>
        </is>
      </c>
      <c r="C9" s="126">
        <f>INDEX({"Jan","Feb","Mar","Apr","May","Jun","Jul","Aug","Sep","Oct","Nov","Dec"},MATCH(MAX('💰 Budget Data'!C17:N17),'💰 Budget Data'!C17:N17,0))</f>
        <v/>
      </c>
      <c r="D9" s="124" t="n"/>
      <c r="E9" s="106" t="n"/>
      <c r="F9" s="106" t="n"/>
    </row>
    <row r="10" ht="19.5" customHeight="1" s="66">
      <c r="A10" s="105" t="n"/>
      <c r="B10" s="84" t="inlineStr">
        <is>
          <t>Highest Expense Month</t>
        </is>
      </c>
      <c r="C10" s="127">
        <f>INDEX({"Jan","Feb","Mar","Apr","May","Jun","Jul","Aug","Sep","Oct","Nov","Dec"},MATCH(MAX('💰 Budget Data'!C18:N18),'💰 Budget Data'!C18:N18,0))</f>
        <v/>
      </c>
      <c r="D10" s="122" t="n"/>
      <c r="E10" s="105" t="n"/>
      <c r="F10" s="105" t="n"/>
    </row>
    <row r="11" ht="19.5" customHeight="1" s="66">
      <c r="A11" s="106" t="n"/>
      <c r="B11" s="86" t="inlineStr">
        <is>
          <t>Avg Monthly Net Profit</t>
        </is>
      </c>
      <c r="C11" s="123">
        <f>AVERAGE('💰 Budget Data'!C19:N19)</f>
        <v/>
      </c>
      <c r="D11" s="124" t="n"/>
      <c r="E11" s="106" t="n"/>
      <c r="F11" s="106" t="n"/>
    </row>
    <row r="13" ht="7.5" customHeight="1" s="66"/>
    <row r="14" ht="7.5" customHeight="1" s="66">
      <c r="A14" s="74" t="n"/>
    </row>
    <row r="15" ht="18" customHeight="1" s="66">
      <c r="A15" s="128" t="inlineStr">
        <is>
          <t>Prepared by Farhan Siddique  |  Digital Marketer &amp; Data Analyst  |  HubSpot, Google &amp; Microsoft Certified</t>
        </is>
      </c>
    </row>
    <row r="16" ht="18" customHeight="1" s="66">
      <c r="A16" s="129" t="inlineStr">
        <is>
          <t>Available on Fiverr &amp; Upwork  |  Excel Dashboards • SEO Audits • Email Marketing</t>
        </is>
      </c>
    </row>
  </sheetData>
  <mergeCells count="5">
    <mergeCell ref="A16:F16"/>
    <mergeCell ref="A14:F14"/>
    <mergeCell ref="A1:F1"/>
    <mergeCell ref="A3:F3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2026-05-11T21:21:01Z</dcterms:created>
  <dcterms:modified xmlns:dcterms="http://purl.org/dc/terms/" xmlns:xsi="http://www.w3.org/2001/XMLSchema-instance" xsi:type="dcterms:W3CDTF">2026-05-11T21:47:38Z</dcterms:modified>
  <cp:revision>0</cp:revision>
</cp:coreProperties>
</file>